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nggeun/UFL Dropbox/Jung Yonggeun/Research/Monthly GDP_2506/monthly_gdp_estimation/2_model/Appendix_simulation/"/>
    </mc:Choice>
  </mc:AlternateContent>
  <xr:revisionPtr revIDLastSave="0" documentId="13_ncr:1_{EAA9291D-993B-2142-9D0A-6BC76AB0698E}" xr6:coauthVersionLast="47" xr6:coauthVersionMax="47" xr10:uidLastSave="{00000000-0000-0000-0000-000000000000}"/>
  <bookViews>
    <workbookView xWindow="10700" yWindow="500" windowWidth="27700" windowHeight="16880" xr2:uid="{5F4BC430-DE58-1C45-A7D2-78DDAD7AC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6" i="1"/>
  <c r="G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5" i="1"/>
  <c r="E6" i="1"/>
  <c r="E4" i="1"/>
  <c r="E3" i="1"/>
</calcChain>
</file>

<file path=xl/sharedStrings.xml><?xml version="1.0" encoding="utf-8"?>
<sst xmlns="http://schemas.openxmlformats.org/spreadsheetml/2006/main" count="7" uniqueCount="7">
  <si>
    <t>DATE</t>
  </si>
  <si>
    <t>y_true</t>
  </si>
  <si>
    <t>LSTM_diff</t>
    <phoneticPr fontId="1" type="noConversion"/>
  </si>
  <si>
    <t>LSTM_level</t>
    <phoneticPr fontId="1" type="noConversion"/>
  </si>
  <si>
    <t>MLP_level</t>
    <phoneticPr fontId="1" type="noConversion"/>
  </si>
  <si>
    <t>MLP_diff</t>
    <phoneticPr fontId="1" type="noConversion"/>
  </si>
  <si>
    <t>y_diff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</si>
</sst>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18E0-37E9-1B44-954D-4A3097FBE7B5}">
  <dimension ref="A1:J361"/>
  <sheetViews>
    <sheetView tabSelected="1" workbookViewId="0">
      <selection activeCell="D10" sqref="D10"/>
    </sheetView>
  </sheetViews>
  <sheetFormatPr baseColWidth="10" defaultRowHeight="18"/>
  <sheetData>
    <row r="1" spans="1:10">
      <c r="A1" t="s">
        <v>0</v>
      </c>
      <c r="B1" t="s">
        <v>1</v>
      </c>
      <c r="C1" t="s">
        <v>6</v>
      </c>
      <c r="D1" s="2" t="s">
        <v>5</v>
      </c>
      <c r="E1" t="s">
        <v>4</v>
      </c>
      <c r="F1" s="2" t="s">
        <v>2</v>
      </c>
      <c r="G1" t="s">
        <v>3</v>
      </c>
      <c r="H1" s="2"/>
      <c r="J1" s="2"/>
    </row>
    <row r="2" spans="1:10">
      <c r="A2" s="1">
        <v>32874</v>
      </c>
      <c r="B2">
        <v>101.166194838273</v>
      </c>
      <c r="D2">
        <v>5.5953074479475596E-4</v>
      </c>
    </row>
    <row r="3" spans="1:10">
      <c r="A3" s="1">
        <v>32905</v>
      </c>
      <c r="B3">
        <v>103.76015711008399</v>
      </c>
      <c r="C3">
        <f>LN(B3)-LN(B2)</f>
        <v>2.5317396226689048E-2</v>
      </c>
      <c r="D3">
        <v>3.3986000926233801E-4</v>
      </c>
      <c r="E3" s="3">
        <f>B2*D3+B2</f>
        <v>101.20057718218777</v>
      </c>
    </row>
    <row r="4" spans="1:10">
      <c r="A4" s="1">
        <v>32933</v>
      </c>
      <c r="B4">
        <v>101.984422671925</v>
      </c>
      <c r="C4">
        <f t="shared" ref="C4:C67" si="0">LN(B4)-LN(B3)</f>
        <v>-1.7261971456304259E-2</v>
      </c>
      <c r="D4">
        <v>2.2158061619848E-3</v>
      </c>
      <c r="E4" s="3">
        <f>B3*D4+B3</f>
        <v>103.99006950557703</v>
      </c>
    </row>
    <row r="5" spans="1:10">
      <c r="A5" s="1">
        <v>32964</v>
      </c>
      <c r="B5">
        <v>101.637357376976</v>
      </c>
      <c r="C5">
        <f t="shared" si="0"/>
        <v>-3.4089244378741057E-3</v>
      </c>
      <c r="D5">
        <v>-2.7730094734579298E-4</v>
      </c>
      <c r="E5" s="3">
        <f t="shared" ref="E5:E68" si="1">B4*D5+B4</f>
        <v>101.95614229490357</v>
      </c>
      <c r="F5">
        <v>-8.3921721670776595E-4</v>
      </c>
      <c r="G5">
        <f>B4*F5+B4</f>
        <v>101.89883558858273</v>
      </c>
    </row>
    <row r="6" spans="1:10">
      <c r="A6" s="1">
        <v>32994</v>
      </c>
      <c r="B6">
        <v>103.780149998632</v>
      </c>
      <c r="C6">
        <f t="shared" si="0"/>
        <v>2.0863561009580422E-2</v>
      </c>
      <c r="D6" s="3">
        <v>-6.6173288360005202E-6</v>
      </c>
      <c r="E6" s="3">
        <f t="shared" si="1"/>
        <v>101.63668480916022</v>
      </c>
      <c r="F6">
        <v>8.7854772573336905E-4</v>
      </c>
      <c r="G6">
        <f>B5*F6+B5</f>
        <v>101.7266506461491</v>
      </c>
      <c r="H6" s="3"/>
    </row>
    <row r="7" spans="1:10">
      <c r="A7" s="1">
        <v>33025</v>
      </c>
      <c r="B7">
        <v>101.415128034367</v>
      </c>
      <c r="C7">
        <f t="shared" si="0"/>
        <v>-2.3052447601024539E-2</v>
      </c>
      <c r="D7" s="3">
        <v>2.9286769859027101E-5</v>
      </c>
      <c r="E7" s="3">
        <f t="shared" si="1"/>
        <v>103.78318938400095</v>
      </c>
      <c r="F7">
        <v>-2.9396207537502002E-4</v>
      </c>
      <c r="G7">
        <f t="shared" ref="G7:G70" si="2">B6*F7+B6</f>
        <v>103.74964257035568</v>
      </c>
      <c r="H7" s="3"/>
    </row>
    <row r="8" spans="1:10">
      <c r="A8" s="1">
        <v>33055</v>
      </c>
      <c r="B8">
        <v>101.156187822023</v>
      </c>
      <c r="C8">
        <f t="shared" si="0"/>
        <v>-2.5565352358274396E-3</v>
      </c>
      <c r="D8">
        <v>-6.1635740101337398E-2</v>
      </c>
      <c r="E8" s="3">
        <f t="shared" si="1"/>
        <v>95.164331560496905</v>
      </c>
      <c r="F8">
        <v>-2.3647777270525598E-3</v>
      </c>
      <c r="G8">
        <f t="shared" si="2"/>
        <v>101.17530379840515</v>
      </c>
    </row>
    <row r="9" spans="1:10">
      <c r="A9" s="1">
        <v>33086</v>
      </c>
      <c r="B9">
        <v>100.552940689531</v>
      </c>
      <c r="C9">
        <f t="shared" si="0"/>
        <v>-5.9813746206280882E-3</v>
      </c>
      <c r="D9">
        <v>-5.3805923089384998E-3</v>
      </c>
      <c r="E9" s="3">
        <f t="shared" si="1"/>
        <v>100.61190761582628</v>
      </c>
      <c r="F9">
        <v>-4.8415386117994699E-3</v>
      </c>
      <c r="G9">
        <f t="shared" si="2"/>
        <v>100.66643623286024</v>
      </c>
    </row>
    <row r="10" spans="1:10">
      <c r="A10" s="1">
        <v>33117</v>
      </c>
      <c r="B10">
        <v>101.680890665348</v>
      </c>
      <c r="C10">
        <f t="shared" si="0"/>
        <v>1.1155024503732847E-2</v>
      </c>
      <c r="D10">
        <v>5.5733069777488702E-2</v>
      </c>
      <c r="E10" s="3">
        <f t="shared" si="1"/>
        <v>106.15706474931231</v>
      </c>
      <c r="F10">
        <v>-4.0769516490399803E-3</v>
      </c>
      <c r="G10">
        <f t="shared" si="2"/>
        <v>100.142991212171</v>
      </c>
    </row>
    <row r="11" spans="1:10">
      <c r="A11" s="1">
        <v>33147</v>
      </c>
      <c r="B11">
        <v>102.28327948987</v>
      </c>
      <c r="C11">
        <f t="shared" si="0"/>
        <v>5.9068274152140887E-3</v>
      </c>
      <c r="D11">
        <v>-4.38948423834517E-4</v>
      </c>
      <c r="E11" s="3">
        <f t="shared" si="1"/>
        <v>101.63625799865636</v>
      </c>
      <c r="F11">
        <v>3.7294246722012702E-3</v>
      </c>
      <c r="G11">
        <f t="shared" si="2"/>
        <v>102.06010188768676</v>
      </c>
    </row>
    <row r="12" spans="1:10">
      <c r="A12" s="1">
        <v>33178</v>
      </c>
      <c r="B12">
        <v>102.52275237971899</v>
      </c>
      <c r="C12">
        <f t="shared" si="0"/>
        <v>2.3385346300361931E-3</v>
      </c>
      <c r="D12">
        <v>3.5116290673613501E-3</v>
      </c>
      <c r="E12" s="3">
        <f t="shared" si="1"/>
        <v>102.64246042723167</v>
      </c>
      <c r="F12">
        <v>3.9403690025210302E-3</v>
      </c>
      <c r="G12">
        <f t="shared" si="2"/>
        <v>102.68631335384808</v>
      </c>
    </row>
    <row r="13" spans="1:10">
      <c r="A13" s="1">
        <v>33208</v>
      </c>
      <c r="B13">
        <v>101.75560987712799</v>
      </c>
      <c r="C13">
        <f t="shared" si="0"/>
        <v>-7.510791651633042E-3</v>
      </c>
      <c r="D13">
        <v>7.3269996792078001E-3</v>
      </c>
      <c r="E13" s="3">
        <f t="shared" si="1"/>
        <v>103.27393655351669</v>
      </c>
      <c r="F13">
        <v>2.72988667711615E-3</v>
      </c>
      <c r="G13">
        <f t="shared" si="2"/>
        <v>102.80262787554167</v>
      </c>
    </row>
    <row r="14" spans="1:10">
      <c r="A14" s="1">
        <v>33239</v>
      </c>
      <c r="B14">
        <v>101.596318116737</v>
      </c>
      <c r="C14">
        <f t="shared" si="0"/>
        <v>-1.5666612511937572E-3</v>
      </c>
      <c r="D14">
        <v>7.9635594738647298E-4</v>
      </c>
      <c r="E14" s="3">
        <f t="shared" si="1"/>
        <v>101.83664356223359</v>
      </c>
      <c r="F14">
        <v>3.3704753150232098E-4</v>
      </c>
      <c r="G14">
        <f t="shared" si="2"/>
        <v>101.78990635425359</v>
      </c>
    </row>
    <row r="15" spans="1:10">
      <c r="A15" s="1">
        <v>33270</v>
      </c>
      <c r="B15">
        <v>102.45061143023101</v>
      </c>
      <c r="C15">
        <f t="shared" si="0"/>
        <v>8.3735472721064852E-3</v>
      </c>
      <c r="D15">
        <v>-3.1184207182377499E-3</v>
      </c>
      <c r="E15" s="3">
        <f t="shared" si="1"/>
        <v>101.27949805342509</v>
      </c>
      <c r="F15">
        <v>-1.64015032351017E-3</v>
      </c>
      <c r="G15">
        <f t="shared" si="2"/>
        <v>101.42968488271039</v>
      </c>
    </row>
    <row r="16" spans="1:10">
      <c r="A16" s="1">
        <v>33298</v>
      </c>
      <c r="B16">
        <v>101.490114576767</v>
      </c>
      <c r="C16">
        <f t="shared" si="0"/>
        <v>-9.41944234488723E-3</v>
      </c>
      <c r="D16">
        <v>-1.0257564717903701E-3</v>
      </c>
      <c r="E16" s="3">
        <f t="shared" si="1"/>
        <v>102.34552205251757</v>
      </c>
      <c r="F16">
        <v>-2.0447184797376299E-3</v>
      </c>
      <c r="G16">
        <f t="shared" si="2"/>
        <v>102.24112877177919</v>
      </c>
    </row>
    <row r="17" spans="1:7">
      <c r="A17" s="1">
        <v>33329</v>
      </c>
      <c r="B17">
        <v>104.49296323962299</v>
      </c>
      <c r="C17">
        <f t="shared" si="0"/>
        <v>2.9158331311266217E-2</v>
      </c>
      <c r="D17">
        <v>8.7917473865672903E-4</v>
      </c>
      <c r="E17" s="3">
        <f t="shared" si="1"/>
        <v>101.57934212172627</v>
      </c>
      <c r="F17">
        <v>1.3406873913481799E-3</v>
      </c>
      <c r="G17">
        <f t="shared" si="2"/>
        <v>101.62618109372656</v>
      </c>
    </row>
    <row r="18" spans="1:7">
      <c r="A18" s="1">
        <v>33359</v>
      </c>
      <c r="B18">
        <v>100.439398216594</v>
      </c>
      <c r="C18">
        <f t="shared" si="0"/>
        <v>-3.9565188917873861E-2</v>
      </c>
      <c r="D18">
        <v>1.29692640621215E-3</v>
      </c>
      <c r="E18" s="3">
        <f t="shared" si="1"/>
        <v>104.62848292291181</v>
      </c>
      <c r="F18">
        <v>1.12951349001377E-3</v>
      </c>
      <c r="G18">
        <f t="shared" si="2"/>
        <v>104.61098945121365</v>
      </c>
    </row>
    <row r="19" spans="1:7">
      <c r="A19" s="1">
        <v>33390</v>
      </c>
      <c r="B19">
        <v>101.51767615201599</v>
      </c>
      <c r="C19">
        <f t="shared" si="0"/>
        <v>1.067838980071123E-2</v>
      </c>
      <c r="D19">
        <v>8.0760288983583396E-4</v>
      </c>
      <c r="E19" s="3">
        <f t="shared" si="1"/>
        <v>100.52051336484709</v>
      </c>
      <c r="F19">
        <v>5.13503153342753E-4</v>
      </c>
      <c r="G19">
        <f t="shared" si="2"/>
        <v>100.49097416429807</v>
      </c>
    </row>
    <row r="20" spans="1:7">
      <c r="A20" s="1">
        <v>33420</v>
      </c>
      <c r="B20">
        <v>104.102192429121</v>
      </c>
      <c r="C20">
        <f t="shared" si="0"/>
        <v>2.5140103597058427E-2</v>
      </c>
      <c r="D20">
        <v>1.6594801563769501E-3</v>
      </c>
      <c r="E20" s="3">
        <f t="shared" si="1"/>
        <v>101.68614272111176</v>
      </c>
      <c r="F20">
        <v>1.02598837111145E-3</v>
      </c>
      <c r="G20">
        <f t="shared" si="2"/>
        <v>101.62183210721022</v>
      </c>
    </row>
    <row r="21" spans="1:7">
      <c r="A21" s="1">
        <v>33451</v>
      </c>
      <c r="B21">
        <v>102.33945574985</v>
      </c>
      <c r="C21">
        <f t="shared" si="0"/>
        <v>-1.7077750893736976E-2</v>
      </c>
      <c r="D21">
        <v>8.2064662128686905E-3</v>
      </c>
      <c r="E21" s="3">
        <f t="shared" si="1"/>
        <v>104.95650355397613</v>
      </c>
      <c r="F21">
        <v>3.3658223692327699E-3</v>
      </c>
      <c r="G21">
        <f t="shared" si="2"/>
        <v>104.45258191708511</v>
      </c>
    </row>
    <row r="22" spans="1:7">
      <c r="A22" s="1">
        <v>33482</v>
      </c>
      <c r="B22">
        <v>101.87616876624</v>
      </c>
      <c r="C22">
        <f t="shared" si="0"/>
        <v>-4.5372412566164755E-3</v>
      </c>
      <c r="D22">
        <v>-3.7895548157393902E-3</v>
      </c>
      <c r="E22" s="3">
        <f t="shared" si="1"/>
        <v>101.95163477247301</v>
      </c>
      <c r="F22">
        <v>1.6845810459926701E-3</v>
      </c>
      <c r="G22">
        <f t="shared" si="2"/>
        <v>102.5118548572634</v>
      </c>
    </row>
    <row r="23" spans="1:7">
      <c r="A23" s="1">
        <v>33512</v>
      </c>
      <c r="B23">
        <v>101.805609381254</v>
      </c>
      <c r="C23">
        <f t="shared" si="0"/>
        <v>-6.9283947194787032E-4</v>
      </c>
      <c r="D23">
        <v>2.7209144900552901E-4</v>
      </c>
      <c r="E23" s="3">
        <f t="shared" si="1"/>
        <v>101.90388840061874</v>
      </c>
      <c r="F23">
        <v>-7.7997436746954901E-3</v>
      </c>
      <c r="G23">
        <f t="shared" si="2"/>
        <v>101.08156076330332</v>
      </c>
    </row>
    <row r="24" spans="1:7">
      <c r="A24" s="1">
        <v>33543</v>
      </c>
      <c r="B24">
        <v>101.732686916007</v>
      </c>
      <c r="C24">
        <f t="shared" si="0"/>
        <v>-7.1654788994202079E-4</v>
      </c>
      <c r="D24">
        <v>-3.75223532319068E-3</v>
      </c>
      <c r="E24" s="3">
        <f t="shared" si="1"/>
        <v>101.42361077763471</v>
      </c>
      <c r="F24">
        <v>-1.8241257639601801E-3</v>
      </c>
      <c r="G24">
        <f t="shared" si="2"/>
        <v>101.61990314626598</v>
      </c>
    </row>
    <row r="25" spans="1:7">
      <c r="A25" s="1">
        <v>33573</v>
      </c>
      <c r="B25">
        <v>102.279333599441</v>
      </c>
      <c r="C25">
        <f t="shared" si="0"/>
        <v>5.3589782631275895E-3</v>
      </c>
      <c r="D25">
        <v>-4.6620364300906597E-3</v>
      </c>
      <c r="E25" s="3">
        <f t="shared" si="1"/>
        <v>101.25840542347356</v>
      </c>
      <c r="F25">
        <v>1.48168869782239E-3</v>
      </c>
      <c r="G25">
        <f t="shared" si="2"/>
        <v>101.88342308840954</v>
      </c>
    </row>
    <row r="26" spans="1:7">
      <c r="A26" s="1">
        <v>33604</v>
      </c>
      <c r="B26">
        <v>98.765086189564897</v>
      </c>
      <c r="C26">
        <f t="shared" si="0"/>
        <v>-3.4963471295759163E-2</v>
      </c>
      <c r="D26">
        <v>-5.5751875042915301E-3</v>
      </c>
      <c r="E26" s="3">
        <f t="shared" si="1"/>
        <v>101.70910713681013</v>
      </c>
      <c r="F26">
        <v>-1.9133564084768202E-2</v>
      </c>
      <c r="G26">
        <f t="shared" si="2"/>
        <v>100.32236541546871</v>
      </c>
    </row>
    <row r="27" spans="1:7">
      <c r="A27" s="1">
        <v>33635</v>
      </c>
      <c r="B27">
        <v>102.255135726996</v>
      </c>
      <c r="C27">
        <f t="shared" si="0"/>
        <v>3.4726857167709291E-2</v>
      </c>
      <c r="D27">
        <v>-1.34145969059318E-3</v>
      </c>
      <c r="E27" s="3">
        <f t="shared" si="1"/>
        <v>98.632596807603633</v>
      </c>
      <c r="F27">
        <v>-6.6879759542643998E-3</v>
      </c>
      <c r="G27">
        <f t="shared" si="2"/>
        <v>98.104547668008237</v>
      </c>
    </row>
    <row r="28" spans="1:7">
      <c r="A28" s="1">
        <v>33664</v>
      </c>
      <c r="B28">
        <v>99.564361670927994</v>
      </c>
      <c r="C28">
        <f t="shared" si="0"/>
        <v>-2.6666734809718484E-2</v>
      </c>
      <c r="D28">
        <v>-1.03431055322289E-2</v>
      </c>
      <c r="E28" s="3">
        <f t="shared" si="1"/>
        <v>101.19750006695929</v>
      </c>
      <c r="F28">
        <v>8.56178719550371E-3</v>
      </c>
      <c r="G28">
        <f t="shared" si="2"/>
        <v>103.13062243873789</v>
      </c>
    </row>
    <row r="29" spans="1:7">
      <c r="A29" s="1">
        <v>33695</v>
      </c>
      <c r="B29">
        <v>100.995400873479</v>
      </c>
      <c r="C29">
        <f t="shared" si="0"/>
        <v>1.4270693887583619E-2</v>
      </c>
      <c r="D29">
        <v>1.1118219234049299E-2</v>
      </c>
      <c r="E29" s="3">
        <f t="shared" si="1"/>
        <v>100.67134007188355</v>
      </c>
      <c r="F29">
        <v>-1.30756655707955E-2</v>
      </c>
      <c r="G29">
        <f t="shared" si="2"/>
        <v>98.262491374949207</v>
      </c>
    </row>
    <row r="30" spans="1:7">
      <c r="A30" s="1">
        <v>33725</v>
      </c>
      <c r="B30">
        <v>101.882427224346</v>
      </c>
      <c r="C30">
        <f t="shared" si="0"/>
        <v>8.7444942749010934E-3</v>
      </c>
      <c r="D30">
        <v>9.0161459520459106E-3</v>
      </c>
      <c r="E30" s="3">
        <f t="shared" si="1"/>
        <v>101.90599014823967</v>
      </c>
      <c r="F30">
        <v>2.0171482115983901E-2</v>
      </c>
      <c r="G30">
        <f t="shared" si="2"/>
        <v>103.03262779599501</v>
      </c>
    </row>
    <row r="31" spans="1:7">
      <c r="A31" s="1">
        <v>33756</v>
      </c>
      <c r="B31">
        <v>103.319054297862</v>
      </c>
      <c r="C31">
        <f t="shared" si="0"/>
        <v>1.4002340875304498E-2</v>
      </c>
      <c r="D31">
        <v>-1.6352547099813799E-3</v>
      </c>
      <c r="E31" s="3">
        <f t="shared" si="1"/>
        <v>101.71582350536306</v>
      </c>
      <c r="F31">
        <v>1.1403293348848801E-2</v>
      </c>
      <c r="G31">
        <f t="shared" si="2"/>
        <v>103.04422242907796</v>
      </c>
    </row>
    <row r="32" spans="1:7">
      <c r="A32" s="1">
        <v>33786</v>
      </c>
      <c r="B32">
        <v>100.878428945311</v>
      </c>
      <c r="C32">
        <f t="shared" si="0"/>
        <v>-2.3905697013218763E-2</v>
      </c>
      <c r="D32">
        <v>-5.7552814483642498</v>
      </c>
      <c r="E32" s="3">
        <f t="shared" si="1"/>
        <v>-491.31118216516171</v>
      </c>
      <c r="F32">
        <v>2.51689087599515E-3</v>
      </c>
      <c r="G32">
        <f t="shared" si="2"/>
        <v>103.57909708294073</v>
      </c>
    </row>
    <row r="33" spans="1:8">
      <c r="A33" s="1">
        <v>33817</v>
      </c>
      <c r="B33">
        <v>102.722331697351</v>
      </c>
      <c r="C33">
        <f t="shared" si="0"/>
        <v>1.8113421194576595E-2</v>
      </c>
      <c r="D33">
        <v>6.8089165687561</v>
      </c>
      <c r="E33" s="3">
        <f t="shared" si="1"/>
        <v>787.75123522112403</v>
      </c>
      <c r="F33">
        <v>8.6623325478285497E-4</v>
      </c>
      <c r="G33">
        <f t="shared" si="2"/>
        <v>100.96581319515367</v>
      </c>
    </row>
    <row r="34" spans="1:8">
      <c r="A34" s="1">
        <v>33848</v>
      </c>
      <c r="B34">
        <v>104.008050199077</v>
      </c>
      <c r="C34">
        <f t="shared" si="0"/>
        <v>1.2438762676174164E-2</v>
      </c>
      <c r="D34">
        <v>-1.04903423786163</v>
      </c>
      <c r="E34" s="3">
        <f t="shared" si="1"/>
        <v>-5.0369112461491596</v>
      </c>
      <c r="F34">
        <v>1.21745537035167E-3</v>
      </c>
      <c r="G34">
        <f t="shared" si="2"/>
        <v>102.84739155173098</v>
      </c>
    </row>
    <row r="35" spans="1:8">
      <c r="A35" s="1">
        <v>33878</v>
      </c>
      <c r="B35">
        <v>100.005318410714</v>
      </c>
      <c r="C35">
        <f t="shared" si="0"/>
        <v>-3.9244933225050183E-2</v>
      </c>
      <c r="D35">
        <v>-2.9927536379545901E-3</v>
      </c>
      <c r="E35" s="3">
        <f t="shared" si="1"/>
        <v>103.69677972846715</v>
      </c>
      <c r="F35">
        <v>-8.1775430589914305E-3</v>
      </c>
      <c r="G35">
        <f t="shared" si="2"/>
        <v>103.15751989009232</v>
      </c>
    </row>
    <row r="36" spans="1:8">
      <c r="A36" s="1">
        <v>33909</v>
      </c>
      <c r="B36">
        <v>102.213878317</v>
      </c>
      <c r="C36">
        <f t="shared" si="0"/>
        <v>2.1844095534562236E-2</v>
      </c>
      <c r="D36">
        <v>2.81400922685861E-2</v>
      </c>
      <c r="E36" s="3">
        <f t="shared" si="1"/>
        <v>102.81947729814082</v>
      </c>
      <c r="F36">
        <v>-4.1590896435081898E-3</v>
      </c>
      <c r="G36">
        <f t="shared" si="2"/>
        <v>99.589387326616261</v>
      </c>
    </row>
    <row r="37" spans="1:8">
      <c r="A37" s="1">
        <v>33939</v>
      </c>
      <c r="B37">
        <v>101.725081408265</v>
      </c>
      <c r="C37">
        <f t="shared" si="0"/>
        <v>-4.79357005027925E-3</v>
      </c>
      <c r="D37">
        <v>-3.7131831049919101E-2</v>
      </c>
      <c r="E37" s="3">
        <f t="shared" si="1"/>
        <v>98.418489856376169</v>
      </c>
      <c r="F37">
        <v>3.5213999217376102E-4</v>
      </c>
      <c r="G37">
        <f t="shared" si="2"/>
        <v>102.24987191131059</v>
      </c>
    </row>
    <row r="38" spans="1:8">
      <c r="A38" s="1">
        <v>33970</v>
      </c>
      <c r="B38">
        <v>102.597805221177</v>
      </c>
      <c r="C38">
        <f t="shared" si="0"/>
        <v>8.5426467361129355E-3</v>
      </c>
      <c r="D38">
        <v>2.4727326817810501E-3</v>
      </c>
      <c r="E38" s="3">
        <f t="shared" si="1"/>
        <v>101.97662034162005</v>
      </c>
      <c r="F38">
        <v>1.03822711389511E-3</v>
      </c>
      <c r="G38">
        <f t="shared" si="2"/>
        <v>101.83069514594625</v>
      </c>
    </row>
    <row r="39" spans="1:8">
      <c r="A39" s="1">
        <v>34001</v>
      </c>
      <c r="B39">
        <v>102.129869069138</v>
      </c>
      <c r="C39">
        <f t="shared" si="0"/>
        <v>-4.5713113141951922E-3</v>
      </c>
      <c r="D39">
        <v>2.9174468945711799E-3</v>
      </c>
      <c r="E39" s="3">
        <f t="shared" si="1"/>
        <v>102.89712886940934</v>
      </c>
      <c r="F39">
        <v>1.3193980557843999E-3</v>
      </c>
      <c r="G39">
        <f t="shared" si="2"/>
        <v>102.73317256591356</v>
      </c>
    </row>
    <row r="40" spans="1:8">
      <c r="A40" s="1">
        <v>34029</v>
      </c>
      <c r="B40">
        <v>101.164475353021</v>
      </c>
      <c r="C40">
        <f t="shared" si="0"/>
        <v>-9.4975684217786238E-3</v>
      </c>
      <c r="D40">
        <v>9.9801924079656601E-4</v>
      </c>
      <c r="E40" s="3">
        <f t="shared" si="1"/>
        <v>102.23179664352902</v>
      </c>
      <c r="F40">
        <v>4.0305741131305599E-3</v>
      </c>
      <c r="G40">
        <f t="shared" si="2"/>
        <v>102.54151107558548</v>
      </c>
    </row>
    <row r="41" spans="1:8">
      <c r="A41" s="1">
        <v>34060</v>
      </c>
      <c r="B41">
        <v>101.203664383717</v>
      </c>
      <c r="C41">
        <f t="shared" si="0"/>
        <v>3.873043576607671E-4</v>
      </c>
      <c r="D41">
        <v>1.2014483101665901E-2</v>
      </c>
      <c r="E41" s="3">
        <f t="shared" si="1"/>
        <v>102.37991423263877</v>
      </c>
      <c r="F41">
        <v>1.1304031359031701E-3</v>
      </c>
      <c r="G41">
        <f t="shared" si="2"/>
        <v>101.27883199320206</v>
      </c>
    </row>
    <row r="42" spans="1:8">
      <c r="A42" s="1">
        <v>34090</v>
      </c>
      <c r="B42">
        <v>103.49826024551101</v>
      </c>
      <c r="C42">
        <f t="shared" si="0"/>
        <v>2.2419837818941524E-2</v>
      </c>
      <c r="D42">
        <v>-7.60274613276124E-3</v>
      </c>
      <c r="E42" s="3">
        <f t="shared" si="1"/>
        <v>100.43423861570243</v>
      </c>
      <c r="F42">
        <v>1.28028471954166E-3</v>
      </c>
      <c r="G42">
        <f t="shared" si="2"/>
        <v>101.3332338887891</v>
      </c>
    </row>
    <row r="43" spans="1:8">
      <c r="A43" s="1">
        <v>34121</v>
      </c>
      <c r="B43">
        <v>101.693733427056</v>
      </c>
      <c r="C43">
        <f t="shared" si="0"/>
        <v>-1.7589120405702374E-2</v>
      </c>
      <c r="D43">
        <v>-2.7670578565448501E-3</v>
      </c>
      <c r="E43" s="3">
        <f t="shared" si="1"/>
        <v>103.21187457135994</v>
      </c>
      <c r="F43">
        <v>-7.6600868487730601E-4</v>
      </c>
      <c r="G43">
        <f t="shared" si="2"/>
        <v>103.41897967929326</v>
      </c>
    </row>
    <row r="44" spans="1:8">
      <c r="A44" s="1">
        <v>34151</v>
      </c>
      <c r="B44">
        <v>102.44906105930799</v>
      </c>
      <c r="C44">
        <f t="shared" si="0"/>
        <v>7.4000268389200485E-3</v>
      </c>
      <c r="D44">
        <v>-3.5669638309627702E-3</v>
      </c>
      <c r="E44" s="3">
        <f t="shared" si="1"/>
        <v>101.33099555808613</v>
      </c>
      <c r="F44">
        <v>1.2646646238863401E-2</v>
      </c>
      <c r="G44">
        <f t="shared" si="2"/>
        <v>102.97981809841725</v>
      </c>
    </row>
    <row r="45" spans="1:8">
      <c r="A45" s="1">
        <v>34182</v>
      </c>
      <c r="B45">
        <v>100.40796876702299</v>
      </c>
      <c r="C45">
        <f t="shared" si="0"/>
        <v>-2.0124135477795235E-2</v>
      </c>
      <c r="D45" s="3">
        <v>-7.8261662565637299E-5</v>
      </c>
      <c r="E45" s="3">
        <f t="shared" si="1"/>
        <v>102.4410432254612</v>
      </c>
      <c r="F45">
        <v>-1.20438458397984E-2</v>
      </c>
      <c r="G45">
        <f t="shared" si="2"/>
        <v>101.21518036147759</v>
      </c>
      <c r="H45" s="3"/>
    </row>
    <row r="46" spans="1:8">
      <c r="A46" s="1">
        <v>34213</v>
      </c>
      <c r="B46">
        <v>100.492992588131</v>
      </c>
      <c r="C46">
        <f t="shared" si="0"/>
        <v>8.4642527950773427E-4</v>
      </c>
      <c r="D46">
        <v>-6.3447132706642099E-3</v>
      </c>
      <c r="E46" s="3">
        <f t="shared" si="1"/>
        <v>99.770908995106424</v>
      </c>
      <c r="F46">
        <v>-1.0592739097773999E-2</v>
      </c>
      <c r="G46">
        <f t="shared" si="2"/>
        <v>99.344373350536472</v>
      </c>
    </row>
    <row r="47" spans="1:8">
      <c r="A47" s="1">
        <v>34243</v>
      </c>
      <c r="B47">
        <v>102.040218777045</v>
      </c>
      <c r="C47">
        <f t="shared" si="0"/>
        <v>1.5279037726544153E-2</v>
      </c>
      <c r="D47">
        <v>6.59619690850377E-3</v>
      </c>
      <c r="E47" s="3">
        <f t="shared" si="1"/>
        <v>101.15586415516712</v>
      </c>
      <c r="F47">
        <v>3.8180791307240699E-3</v>
      </c>
      <c r="G47">
        <f t="shared" si="2"/>
        <v>100.87668278591575</v>
      </c>
    </row>
    <row r="48" spans="1:8">
      <c r="A48" s="1">
        <v>34274</v>
      </c>
      <c r="B48">
        <v>103.127949795585</v>
      </c>
      <c r="C48">
        <f t="shared" si="0"/>
        <v>1.06034110206501E-2</v>
      </c>
      <c r="D48">
        <v>3.9142877794802102E-3</v>
      </c>
      <c r="E48" s="3">
        <f t="shared" si="1"/>
        <v>102.43963355841947</v>
      </c>
      <c r="F48">
        <v>3.6731844302266801E-3</v>
      </c>
      <c r="G48">
        <f t="shared" si="2"/>
        <v>102.41503131991377</v>
      </c>
    </row>
    <row r="49" spans="1:7">
      <c r="A49" s="1">
        <v>34304</v>
      </c>
      <c r="B49">
        <v>101.62054998615901</v>
      </c>
      <c r="C49">
        <f t="shared" si="0"/>
        <v>-1.4724669989010231E-2</v>
      </c>
      <c r="D49">
        <v>7.6148373773321499E-4</v>
      </c>
      <c r="E49" s="3">
        <f t="shared" si="1"/>
        <v>103.2064800522601</v>
      </c>
      <c r="F49">
        <v>3.7807063199579698E-3</v>
      </c>
      <c r="G49">
        <f t="shared" si="2"/>
        <v>103.51784628714147</v>
      </c>
    </row>
    <row r="50" spans="1:7">
      <c r="A50" s="1">
        <v>34335</v>
      </c>
      <c r="B50">
        <v>101.269393302628</v>
      </c>
      <c r="C50">
        <f t="shared" si="0"/>
        <v>-3.4615518983214244E-3</v>
      </c>
      <c r="D50">
        <v>1.13158291205763E-2</v>
      </c>
      <c r="E50" s="3">
        <f t="shared" si="1"/>
        <v>102.77047076494136</v>
      </c>
      <c r="F50">
        <v>-1.44020821899175E-2</v>
      </c>
      <c r="G50">
        <f t="shared" si="2"/>
        <v>100.15700247307372</v>
      </c>
    </row>
    <row r="51" spans="1:7">
      <c r="A51" s="1">
        <v>34366</v>
      </c>
      <c r="B51">
        <v>101.87954649749101</v>
      </c>
      <c r="C51">
        <f t="shared" si="0"/>
        <v>6.0069723246245488E-3</v>
      </c>
      <c r="D51">
        <v>-2.8232367709279001E-2</v>
      </c>
      <c r="E51" s="3">
        <f t="shared" si="1"/>
        <v>98.410318553212619</v>
      </c>
      <c r="F51">
        <v>6.0954634100198702E-3</v>
      </c>
      <c r="G51">
        <f t="shared" si="2"/>
        <v>101.88667718405908</v>
      </c>
    </row>
    <row r="52" spans="1:7">
      <c r="A52" s="1">
        <v>34394</v>
      </c>
      <c r="B52">
        <v>100.56359826265199</v>
      </c>
      <c r="C52">
        <f t="shared" si="0"/>
        <v>-1.3000852873683577E-2</v>
      </c>
      <c r="D52">
        <v>6.8388963118195499E-3</v>
      </c>
      <c r="E52" s="3">
        <f t="shared" si="1"/>
        <v>102.57629015228254</v>
      </c>
      <c r="F52">
        <v>-1.77102338057011E-3</v>
      </c>
      <c r="G52">
        <f t="shared" si="2"/>
        <v>101.69911543864207</v>
      </c>
    </row>
    <row r="53" spans="1:7">
      <c r="A53" s="1">
        <v>34425</v>
      </c>
      <c r="B53">
        <v>102.90541651441799</v>
      </c>
      <c r="C53">
        <f t="shared" si="0"/>
        <v>2.301993419095627E-2</v>
      </c>
      <c r="D53">
        <v>6.6468254663050097E-3</v>
      </c>
      <c r="E53" s="3">
        <f t="shared" si="1"/>
        <v>101.23202694856745</v>
      </c>
      <c r="F53">
        <v>1.45602622069418E-3</v>
      </c>
      <c r="G53">
        <f t="shared" si="2"/>
        <v>100.71002149856977</v>
      </c>
    </row>
    <row r="54" spans="1:7">
      <c r="A54" s="1">
        <v>34455</v>
      </c>
      <c r="B54">
        <v>102.802338585043</v>
      </c>
      <c r="C54">
        <f t="shared" si="0"/>
        <v>-1.0021784346676554E-3</v>
      </c>
      <c r="D54">
        <v>4.9151820130646203E-3</v>
      </c>
      <c r="E54" s="3">
        <f t="shared" si="1"/>
        <v>103.41121536671659</v>
      </c>
      <c r="F54">
        <v>7.8387511894106796E-3</v>
      </c>
      <c r="G54">
        <f t="shared" si="2"/>
        <v>103.71206647051719</v>
      </c>
    </row>
    <row r="55" spans="1:7">
      <c r="A55" s="1">
        <v>34486</v>
      </c>
      <c r="B55">
        <v>100.811379238596</v>
      </c>
      <c r="C55">
        <f t="shared" si="0"/>
        <v>-1.9556863106513944E-2</v>
      </c>
      <c r="D55">
        <v>-2.3634806275367702E-3</v>
      </c>
      <c r="E55" s="3">
        <f t="shared" si="1"/>
        <v>102.55936724933177</v>
      </c>
      <c r="F55" s="3">
        <v>-9.6251220384147005E-5</v>
      </c>
      <c r="G55">
        <f t="shared" si="2"/>
        <v>102.79244373449585</v>
      </c>
    </row>
    <row r="56" spans="1:7">
      <c r="A56" s="1">
        <v>34516</v>
      </c>
      <c r="B56">
        <v>101.36159569719899</v>
      </c>
      <c r="C56">
        <f t="shared" si="0"/>
        <v>5.4430402203982098E-3</v>
      </c>
      <c r="D56">
        <v>-1.12504546996206E-3</v>
      </c>
      <c r="E56" s="3">
        <f t="shared" si="1"/>
        <v>100.69796185306299</v>
      </c>
      <c r="F56">
        <v>1.1088063940405801E-2</v>
      </c>
      <c r="G56">
        <f t="shared" si="2"/>
        <v>101.92918225751406</v>
      </c>
    </row>
    <row r="57" spans="1:7">
      <c r="A57" s="1">
        <v>34547</v>
      </c>
      <c r="B57">
        <v>101.982650140789</v>
      </c>
      <c r="C57">
        <f t="shared" si="0"/>
        <v>6.1084233993238257E-3</v>
      </c>
      <c r="D57">
        <v>-1.7924832645803601E-3</v>
      </c>
      <c r="E57" s="3">
        <f t="shared" si="1"/>
        <v>101.1799067332406</v>
      </c>
      <c r="F57">
        <v>-1.2513263209257199E-4</v>
      </c>
      <c r="G57">
        <f t="shared" si="2"/>
        <v>101.3489120539363</v>
      </c>
    </row>
    <row r="58" spans="1:7">
      <c r="A58" s="1">
        <v>34578</v>
      </c>
      <c r="B58">
        <v>101.174390998704</v>
      </c>
      <c r="C58">
        <f t="shared" si="0"/>
        <v>-7.9570306997940321E-3</v>
      </c>
      <c r="D58">
        <v>-3.6303629167377901E-3</v>
      </c>
      <c r="E58" s="3">
        <f t="shared" si="1"/>
        <v>101.61241610956723</v>
      </c>
      <c r="F58">
        <v>-1.75108239054679E-2</v>
      </c>
      <c r="G58">
        <f t="shared" si="2"/>
        <v>100.19684991276071</v>
      </c>
    </row>
    <row r="59" spans="1:7">
      <c r="A59" s="1">
        <v>34608</v>
      </c>
      <c r="B59">
        <v>102.35187861369199</v>
      </c>
      <c r="C59">
        <f t="shared" si="0"/>
        <v>1.1570995280523633E-2</v>
      </c>
      <c r="D59">
        <v>4.07015271484851E-2</v>
      </c>
      <c r="E59" s="3">
        <f t="shared" si="1"/>
        <v>105.2923432206692</v>
      </c>
      <c r="F59">
        <v>1.5306223649531601E-3</v>
      </c>
      <c r="G59">
        <f t="shared" si="2"/>
        <v>101.32925078432713</v>
      </c>
    </row>
    <row r="60" spans="1:7">
      <c r="A60" s="1">
        <v>34639</v>
      </c>
      <c r="B60">
        <v>104.37113095988801</v>
      </c>
      <c r="C60">
        <f t="shared" si="0"/>
        <v>1.9536447098189136E-2</v>
      </c>
      <c r="D60">
        <v>-1.7932437360286699E-2</v>
      </c>
      <c r="E60" s="3">
        <f t="shared" si="1"/>
        <v>100.51645996174429</v>
      </c>
      <c r="F60">
        <v>-3.43181286007165E-3</v>
      </c>
      <c r="G60">
        <f t="shared" si="2"/>
        <v>102.00062612041303</v>
      </c>
    </row>
    <row r="61" spans="1:7">
      <c r="A61" s="1">
        <v>34669</v>
      </c>
      <c r="B61">
        <v>102.276569798441</v>
      </c>
      <c r="C61">
        <f t="shared" si="0"/>
        <v>-2.0272501339282378E-2</v>
      </c>
      <c r="D61">
        <v>-8.16146563738584E-3</v>
      </c>
      <c r="E61" s="3">
        <f t="shared" si="1"/>
        <v>103.51930956102379</v>
      </c>
      <c r="F61">
        <v>1.6508815810084301E-2</v>
      </c>
      <c r="G61">
        <f t="shared" si="2"/>
        <v>106.09417473679498</v>
      </c>
    </row>
    <row r="62" spans="1:7">
      <c r="A62" s="1">
        <v>34700</v>
      </c>
      <c r="B62">
        <v>102.368502884121</v>
      </c>
      <c r="C62">
        <f t="shared" si="0"/>
        <v>8.9846377104763064E-4</v>
      </c>
      <c r="D62">
        <v>-4.0246438584290401E-4</v>
      </c>
      <c r="E62" s="3">
        <f t="shared" si="1"/>
        <v>102.23540712159095</v>
      </c>
      <c r="F62">
        <v>-5.2689225412905205E-4</v>
      </c>
      <c r="G62">
        <f t="shared" si="2"/>
        <v>102.22268106603532</v>
      </c>
    </row>
    <row r="63" spans="1:7">
      <c r="A63" s="1">
        <v>34731</v>
      </c>
      <c r="B63">
        <v>102.19149366854001</v>
      </c>
      <c r="C63">
        <f t="shared" si="0"/>
        <v>-1.730634168400691E-3</v>
      </c>
      <c r="D63">
        <v>-2.3094639182090699E-3</v>
      </c>
      <c r="E63" s="3">
        <f t="shared" si="1"/>
        <v>102.13208652034903</v>
      </c>
      <c r="F63">
        <v>-1.4607032062485801E-4</v>
      </c>
      <c r="G63">
        <f t="shared" si="2"/>
        <v>102.35354988408282</v>
      </c>
    </row>
    <row r="64" spans="1:7">
      <c r="A64" s="1">
        <v>34759</v>
      </c>
      <c r="B64">
        <v>103.984215051565</v>
      </c>
      <c r="C64">
        <f t="shared" si="0"/>
        <v>1.7390667171991225E-2</v>
      </c>
      <c r="D64">
        <v>1.2371572665870101E-3</v>
      </c>
      <c r="E64" s="3">
        <f t="shared" si="1"/>
        <v>102.31792061751543</v>
      </c>
      <c r="F64">
        <v>-8.0180843360722E-4</v>
      </c>
      <c r="G64">
        <f t="shared" si="2"/>
        <v>102.10955566707365</v>
      </c>
    </row>
    <row r="65" spans="1:8">
      <c r="A65" s="1">
        <v>34790</v>
      </c>
      <c r="B65">
        <v>102.688003365691</v>
      </c>
      <c r="C65">
        <f t="shared" si="0"/>
        <v>-1.2543811568196617E-2</v>
      </c>
      <c r="D65" s="3">
        <v>-5.3374747949419502E-5</v>
      </c>
      <c r="E65" s="3">
        <f t="shared" si="1"/>
        <v>103.97866492029591</v>
      </c>
      <c r="F65" s="3">
        <v>3.5035831388085999E-5</v>
      </c>
      <c r="G65">
        <f t="shared" si="2"/>
        <v>103.98785822499057</v>
      </c>
      <c r="H65" s="3"/>
    </row>
    <row r="66" spans="1:8">
      <c r="A66" s="1">
        <v>34820</v>
      </c>
      <c r="B66">
        <v>101.95974908927199</v>
      </c>
      <c r="C66">
        <f t="shared" si="0"/>
        <v>-7.1171790726003437E-3</v>
      </c>
      <c r="D66" s="3">
        <v>5.5296142818406197E-5</v>
      </c>
      <c r="E66" s="3">
        <f t="shared" si="1"/>
        <v>102.69368161619084</v>
      </c>
      <c r="F66" s="3">
        <v>4.7625562160646897E-7</v>
      </c>
      <c r="G66">
        <f t="shared" si="2"/>
        <v>102.68805227142988</v>
      </c>
      <c r="H66" s="3"/>
    </row>
    <row r="67" spans="1:8">
      <c r="A67" s="1">
        <v>34851</v>
      </c>
      <c r="B67">
        <v>103.92919357620499</v>
      </c>
      <c r="C67">
        <f t="shared" si="0"/>
        <v>1.9131717641931445E-2</v>
      </c>
      <c r="D67">
        <v>1.04166130768135E-4</v>
      </c>
      <c r="E67" s="3">
        <f t="shared" si="1"/>
        <v>101.97036984182871</v>
      </c>
      <c r="F67" s="3">
        <v>7.0575435529462898E-5</v>
      </c>
      <c r="G67">
        <f t="shared" si="2"/>
        <v>101.96694494297044</v>
      </c>
    </row>
    <row r="68" spans="1:8">
      <c r="A68" s="1">
        <v>34881</v>
      </c>
      <c r="B68">
        <v>104.102638189253</v>
      </c>
      <c r="C68">
        <f t="shared" ref="C68:C131" si="3">LN(B68)-LN(B67)</f>
        <v>1.6674818633717337E-3</v>
      </c>
      <c r="D68">
        <v>-2.1659970283508301E-2</v>
      </c>
      <c r="E68" s="3">
        <f t="shared" si="1"/>
        <v>101.67809033175541</v>
      </c>
      <c r="F68">
        <v>-1.9599312916398E-2</v>
      </c>
      <c r="G68">
        <f t="shared" si="2"/>
        <v>101.89225279015605</v>
      </c>
    </row>
    <row r="69" spans="1:8">
      <c r="A69" s="1">
        <v>34912</v>
      </c>
      <c r="B69">
        <v>101.85426712495899</v>
      </c>
      <c r="C69">
        <f t="shared" si="3"/>
        <v>-2.1834280170411446E-2</v>
      </c>
      <c r="D69">
        <v>-3.13496286980807E-3</v>
      </c>
      <c r="E69" s="3">
        <f t="shared" ref="E69:E132" si="4">B68*D69+B68</f>
        <v>103.77628028388062</v>
      </c>
      <c r="F69">
        <v>4.7745467163622301E-3</v>
      </c>
      <c r="G69">
        <f t="shared" si="2"/>
        <v>104.59968109858414</v>
      </c>
    </row>
    <row r="70" spans="1:8">
      <c r="A70" s="1">
        <v>34943</v>
      </c>
      <c r="B70">
        <v>99.995985011092898</v>
      </c>
      <c r="C70">
        <f t="shared" si="3"/>
        <v>-1.8413002672639678E-2</v>
      </c>
      <c r="D70">
        <v>1.6254838556051199E-2</v>
      </c>
      <c r="E70" s="3">
        <f t="shared" si="4"/>
        <v>103.50989179332012</v>
      </c>
      <c r="F70">
        <v>6.28467090427875E-3</v>
      </c>
      <c r="G70">
        <f t="shared" si="2"/>
        <v>102.49438767403586</v>
      </c>
    </row>
    <row r="71" spans="1:8">
      <c r="A71" s="1">
        <v>34973</v>
      </c>
      <c r="B71">
        <v>103.12165851427901</v>
      </c>
      <c r="C71">
        <f t="shared" si="3"/>
        <v>3.0779406551109112E-2</v>
      </c>
      <c r="D71">
        <v>1.13418546970933E-3</v>
      </c>
      <c r="E71" s="3">
        <f t="shared" si="4"/>
        <v>100.10939900432176</v>
      </c>
      <c r="F71">
        <v>-9.3679102137684805E-3</v>
      </c>
      <c r="G71">
        <f t="shared" ref="G71:G134" si="5">B70*F71+B70</f>
        <v>99.059231601771643</v>
      </c>
    </row>
    <row r="72" spans="1:8">
      <c r="A72" s="1">
        <v>35004</v>
      </c>
      <c r="B72">
        <v>101.04438362057699</v>
      </c>
      <c r="C72">
        <f t="shared" si="3"/>
        <v>-2.0349579741215429E-2</v>
      </c>
      <c r="D72">
        <v>1.7490074969828099E-4</v>
      </c>
      <c r="E72" s="3">
        <f t="shared" si="4"/>
        <v>103.13969456966328</v>
      </c>
      <c r="F72">
        <v>4.8245923244394302E-4</v>
      </c>
      <c r="G72">
        <f t="shared" si="5"/>
        <v>103.17141051049416</v>
      </c>
    </row>
    <row r="73" spans="1:8">
      <c r="A73" s="1">
        <v>35034</v>
      </c>
      <c r="B73">
        <v>102.418594069802</v>
      </c>
      <c r="C73">
        <f t="shared" si="3"/>
        <v>1.3508416731286665E-2</v>
      </c>
      <c r="D73">
        <v>7.5363175710663199E-4</v>
      </c>
      <c r="E73" s="3">
        <f t="shared" si="4"/>
        <v>101.12053387695073</v>
      </c>
      <c r="F73">
        <v>1.09481690451502E-2</v>
      </c>
      <c r="G73">
        <f t="shared" si="5"/>
        <v>102.15063461351808</v>
      </c>
    </row>
    <row r="74" spans="1:8">
      <c r="A74" s="1">
        <v>35065</v>
      </c>
      <c r="B74">
        <v>98.888196805883197</v>
      </c>
      <c r="C74">
        <f t="shared" si="3"/>
        <v>-3.5078392060888142E-2</v>
      </c>
      <c r="D74" s="3">
        <v>-1.2947085451742101E-5</v>
      </c>
      <c r="E74" s="3">
        <f t="shared" si="4"/>
        <v>102.41726804751274</v>
      </c>
      <c r="F74">
        <v>-8.4682432934641803E-3</v>
      </c>
      <c r="G74">
        <f t="shared" si="5"/>
        <v>101.55128849744436</v>
      </c>
      <c r="H74" s="3"/>
    </row>
    <row r="75" spans="1:8">
      <c r="A75" s="1">
        <v>35096</v>
      </c>
      <c r="B75">
        <v>101.48785911916301</v>
      </c>
      <c r="C75">
        <f t="shared" si="3"/>
        <v>2.594928996463608E-2</v>
      </c>
      <c r="D75">
        <v>6.4602561295032501E-2</v>
      </c>
      <c r="E75" s="3">
        <f t="shared" si="4"/>
        <v>105.2766276013905</v>
      </c>
      <c r="F75">
        <v>-1.0139174759387901E-2</v>
      </c>
      <c r="G75">
        <f t="shared" si="5"/>
        <v>97.88555209682761</v>
      </c>
    </row>
    <row r="76" spans="1:8">
      <c r="A76" s="1">
        <v>35125</v>
      </c>
      <c r="B76">
        <v>99.404560958486201</v>
      </c>
      <c r="C76">
        <f t="shared" si="3"/>
        <v>-2.0741179233843887E-2</v>
      </c>
      <c r="D76">
        <v>-8.7032541632652199E-2</v>
      </c>
      <c r="E76" s="3">
        <f t="shared" si="4"/>
        <v>92.655112795165707</v>
      </c>
      <c r="F76">
        <v>-3.8355067372322E-3</v>
      </c>
      <c r="G76">
        <f t="shared" si="5"/>
        <v>101.09860175176418</v>
      </c>
    </row>
    <row r="77" spans="1:8">
      <c r="A77" s="1">
        <v>35156</v>
      </c>
      <c r="B77">
        <v>102.696098038199</v>
      </c>
      <c r="C77">
        <f t="shared" si="3"/>
        <v>3.2576124922861105E-2</v>
      </c>
      <c r="D77">
        <v>-3.1395126134157098E-3</v>
      </c>
      <c r="E77" s="3">
        <f t="shared" si="4"/>
        <v>99.09247908552598</v>
      </c>
      <c r="F77">
        <v>1.0300905443727901E-2</v>
      </c>
      <c r="G77">
        <f t="shared" si="5"/>
        <v>100.42851794159485</v>
      </c>
    </row>
    <row r="78" spans="1:8">
      <c r="A78" s="1">
        <v>35186</v>
      </c>
      <c r="B78">
        <v>102.515898183551</v>
      </c>
      <c r="C78">
        <f t="shared" si="3"/>
        <v>-1.7562316461257055E-3</v>
      </c>
      <c r="D78">
        <v>2.3281304165720901E-3</v>
      </c>
      <c r="E78" s="3">
        <f t="shared" si="4"/>
        <v>102.935187947705</v>
      </c>
      <c r="F78">
        <v>1.0877588763833001E-2</v>
      </c>
      <c r="G78">
        <f t="shared" si="5"/>
        <v>103.81318396030881</v>
      </c>
    </row>
    <row r="79" spans="1:8">
      <c r="A79" s="1">
        <v>35217</v>
      </c>
      <c r="B79">
        <v>102.025378114418</v>
      </c>
      <c r="C79">
        <f t="shared" si="3"/>
        <v>-4.7963034000684246E-3</v>
      </c>
      <c r="D79">
        <v>2.5381108745932499E-2</v>
      </c>
      <c r="E79" s="3">
        <f t="shared" si="4"/>
        <v>105.11786534353466</v>
      </c>
      <c r="F79">
        <v>3.3912290818989199E-3</v>
      </c>
      <c r="G79">
        <f t="shared" si="5"/>
        <v>102.86355307882805</v>
      </c>
    </row>
    <row r="80" spans="1:8">
      <c r="A80" s="1">
        <v>35247</v>
      </c>
      <c r="B80">
        <v>101.80201514641099</v>
      </c>
      <c r="C80">
        <f t="shared" si="3"/>
        <v>-2.191688308856854E-3</v>
      </c>
      <c r="D80">
        <v>-7.64342723414301E-4</v>
      </c>
      <c r="E80" s="3">
        <f t="shared" si="4"/>
        <v>101.94739575905265</v>
      </c>
      <c r="F80">
        <v>-1.92230939865112E-3</v>
      </c>
      <c r="G80">
        <f t="shared" si="5"/>
        <v>101.82925377116773</v>
      </c>
    </row>
    <row r="81" spans="1:8">
      <c r="A81" s="1">
        <v>35278</v>
      </c>
      <c r="B81">
        <v>102.310429710417</v>
      </c>
      <c r="C81">
        <f t="shared" si="3"/>
        <v>4.9817208924114453E-3</v>
      </c>
      <c r="D81">
        <v>-3.2760046888142798E-3</v>
      </c>
      <c r="E81" s="3">
        <f t="shared" si="4"/>
        <v>101.46851126746061</v>
      </c>
      <c r="F81">
        <v>-1.31877814419567E-3</v>
      </c>
      <c r="G81">
        <f t="shared" si="5"/>
        <v>101.66776087380083</v>
      </c>
    </row>
    <row r="82" spans="1:8">
      <c r="A82" s="1">
        <v>35309</v>
      </c>
      <c r="B82">
        <v>101.45698824441899</v>
      </c>
      <c r="C82">
        <f t="shared" si="3"/>
        <v>-8.3766724333091958E-3</v>
      </c>
      <c r="D82">
        <v>-1.4032780891284301E-3</v>
      </c>
      <c r="E82" s="3">
        <f t="shared" si="4"/>
        <v>102.16685972611505</v>
      </c>
      <c r="F82">
        <v>-2.20253784209489E-3</v>
      </c>
      <c r="G82">
        <f t="shared" si="5"/>
        <v>102.08508711733882</v>
      </c>
    </row>
    <row r="83" spans="1:8">
      <c r="A83" s="1">
        <v>35339</v>
      </c>
      <c r="B83">
        <v>101.5422417618</v>
      </c>
      <c r="C83">
        <f t="shared" si="3"/>
        <v>8.3993936716453277E-4</v>
      </c>
      <c r="D83">
        <v>8.9924043277278499E-4</v>
      </c>
      <c r="E83" s="3">
        <f t="shared" si="4"/>
        <v>101.54822247043573</v>
      </c>
      <c r="F83">
        <v>-1.2910040095448401E-3</v>
      </c>
      <c r="G83">
        <f t="shared" si="5"/>
        <v>101.3260068657991</v>
      </c>
    </row>
    <row r="84" spans="1:8">
      <c r="A84" s="1">
        <v>35370</v>
      </c>
      <c r="B84">
        <v>103.434401583686</v>
      </c>
      <c r="C84">
        <f t="shared" si="3"/>
        <v>1.8462723746624832E-2</v>
      </c>
      <c r="D84">
        <v>-3.2108079176396101E-3</v>
      </c>
      <c r="E84" s="3">
        <f t="shared" si="4"/>
        <v>101.21620912797634</v>
      </c>
      <c r="F84">
        <v>-1.5008738264441399E-3</v>
      </c>
      <c r="G84">
        <f t="shared" si="5"/>
        <v>101.38983966886126</v>
      </c>
    </row>
    <row r="85" spans="1:8">
      <c r="A85" s="1">
        <v>35400</v>
      </c>
      <c r="B85">
        <v>99.984199968356094</v>
      </c>
      <c r="C85">
        <f t="shared" si="3"/>
        <v>-3.392543745649057E-2</v>
      </c>
      <c r="D85">
        <v>3.1792357913218401E-4</v>
      </c>
      <c r="E85" s="3">
        <f t="shared" si="4"/>
        <v>103.46728581884288</v>
      </c>
      <c r="F85">
        <v>7.9823384294286305E-4</v>
      </c>
      <c r="G85">
        <f t="shared" si="5"/>
        <v>103.51696642355463</v>
      </c>
    </row>
    <row r="86" spans="1:8">
      <c r="A86" s="1">
        <v>35431</v>
      </c>
      <c r="B86">
        <v>103.091163153819</v>
      </c>
      <c r="C86">
        <f t="shared" si="3"/>
        <v>3.0601502753037302E-2</v>
      </c>
      <c r="D86">
        <v>-6.0075725195929397E-4</v>
      </c>
      <c r="E86" s="3">
        <f t="shared" si="4"/>
        <v>99.924133735143755</v>
      </c>
      <c r="F86">
        <v>-1.34910995257087E-4</v>
      </c>
      <c r="G86">
        <f t="shared" si="5"/>
        <v>99.970711000428381</v>
      </c>
    </row>
    <row r="87" spans="1:8">
      <c r="A87" s="1">
        <v>35462</v>
      </c>
      <c r="B87">
        <v>101.214801627822</v>
      </c>
      <c r="C87">
        <f t="shared" si="3"/>
        <v>-1.8368668638591323E-2</v>
      </c>
      <c r="D87">
        <v>-2.4787030997686001E-4</v>
      </c>
      <c r="E87" s="3">
        <f t="shared" si="4"/>
        <v>103.06560991525218</v>
      </c>
      <c r="F87">
        <v>-2.7568807126954198E-4</v>
      </c>
      <c r="G87">
        <f t="shared" si="5"/>
        <v>103.06274214988419</v>
      </c>
    </row>
    <row r="88" spans="1:8">
      <c r="A88" s="1">
        <v>35490</v>
      </c>
      <c r="B88">
        <v>100.395697399612</v>
      </c>
      <c r="C88">
        <f t="shared" si="3"/>
        <v>-8.1256555489259696E-3</v>
      </c>
      <c r="D88" s="3">
        <v>-1.6171444485735199E-6</v>
      </c>
      <c r="E88" s="3">
        <f t="shared" si="4"/>
        <v>101.21463794886743</v>
      </c>
      <c r="F88">
        <v>-4.3964566430076903E-4</v>
      </c>
      <c r="G88">
        <f t="shared" si="5"/>
        <v>101.17030297912326</v>
      </c>
      <c r="H88" s="3"/>
    </row>
    <row r="89" spans="1:8">
      <c r="A89" s="1">
        <v>35521</v>
      </c>
      <c r="B89">
        <v>100.528470981572</v>
      </c>
      <c r="C89">
        <f t="shared" si="3"/>
        <v>1.321628974314315E-3</v>
      </c>
      <c r="D89">
        <v>2.9601971618831098E-4</v>
      </c>
      <c r="E89" s="3">
        <f t="shared" si="4"/>
        <v>100.42541650546276</v>
      </c>
      <c r="F89">
        <v>-6.4431846840307095E-4</v>
      </c>
      <c r="G89">
        <f t="shared" si="5"/>
        <v>100.33101059762923</v>
      </c>
    </row>
    <row r="90" spans="1:8">
      <c r="A90" s="1">
        <v>35551</v>
      </c>
      <c r="B90">
        <v>101.508586938158</v>
      </c>
      <c r="C90">
        <f t="shared" si="3"/>
        <v>9.70241455125187E-3</v>
      </c>
      <c r="D90">
        <v>3.2119450042955501E-4</v>
      </c>
      <c r="E90" s="3">
        <f t="shared" si="4"/>
        <v>100.56076017358787</v>
      </c>
      <c r="F90">
        <v>1.3141465024091301E-4</v>
      </c>
      <c r="G90">
        <f t="shared" si="5"/>
        <v>100.5416818954253</v>
      </c>
    </row>
    <row r="91" spans="1:8">
      <c r="A91" s="1">
        <v>35582</v>
      </c>
      <c r="B91">
        <v>102.81445592139301</v>
      </c>
      <c r="C91">
        <f t="shared" si="3"/>
        <v>1.2782569658805976E-2</v>
      </c>
      <c r="D91">
        <v>-1.2553713168017501E-4</v>
      </c>
      <c r="E91" s="3">
        <f t="shared" si="4"/>
        <v>101.49584384131288</v>
      </c>
      <c r="F91">
        <v>1.00458087399601E-3</v>
      </c>
      <c r="G91">
        <f t="shared" si="5"/>
        <v>101.61056052314244</v>
      </c>
    </row>
    <row r="92" spans="1:8">
      <c r="A92" s="1">
        <v>35612</v>
      </c>
      <c r="B92">
        <v>101.242400600775</v>
      </c>
      <c r="C92">
        <f t="shared" si="3"/>
        <v>-1.5408317563172957E-2</v>
      </c>
      <c r="D92">
        <v>-1.18782930076122E-3</v>
      </c>
      <c r="E92" s="3">
        <f t="shared" si="4"/>
        <v>102.69232989810776</v>
      </c>
      <c r="F92">
        <v>5.4267409723252004E-4</v>
      </c>
      <c r="G92">
        <f t="shared" si="5"/>
        <v>102.8702506634426</v>
      </c>
    </row>
    <row r="93" spans="1:8">
      <c r="A93" s="1">
        <v>35643</v>
      </c>
      <c r="B93">
        <v>102.85678199349501</v>
      </c>
      <c r="C93">
        <f t="shared" si="3"/>
        <v>1.5819907177050396E-2</v>
      </c>
      <c r="D93">
        <v>-2.5872819125652299E-2</v>
      </c>
      <c r="E93" s="3">
        <f t="shared" si="4"/>
        <v>98.622974282184316</v>
      </c>
      <c r="F93">
        <v>2.39485804922878E-3</v>
      </c>
      <c r="G93">
        <f t="shared" si="5"/>
        <v>101.48486177877702</v>
      </c>
    </row>
    <row r="94" spans="1:8">
      <c r="A94" s="1">
        <v>35674</v>
      </c>
      <c r="B94">
        <v>100.310258420849</v>
      </c>
      <c r="C94">
        <f t="shared" si="3"/>
        <v>-2.5069587437780427E-2</v>
      </c>
      <c r="D94">
        <v>2.5609470903873399E-2</v>
      </c>
      <c r="E94" s="3">
        <f t="shared" si="4"/>
        <v>105.49088975922346</v>
      </c>
      <c r="F94">
        <v>-4.3887100182473599E-3</v>
      </c>
      <c r="G94">
        <f t="shared" si="5"/>
        <v>102.40537340391546</v>
      </c>
    </row>
    <row r="95" spans="1:8">
      <c r="A95" s="1">
        <v>35704</v>
      </c>
      <c r="B95">
        <v>101.651920524106</v>
      </c>
      <c r="C95">
        <f t="shared" si="3"/>
        <v>1.3286466279937237E-2</v>
      </c>
      <c r="D95" s="3">
        <v>-9.6549985755700604E-5</v>
      </c>
      <c r="E95" s="3">
        <f t="shared" si="4"/>
        <v>100.30057346682732</v>
      </c>
      <c r="F95">
        <v>-2.0313594723120299E-4</v>
      </c>
      <c r="G95">
        <f t="shared" si="5"/>
        <v>100.28988180148767</v>
      </c>
      <c r="H95" s="3"/>
    </row>
    <row r="96" spans="1:8">
      <c r="A96" s="1">
        <v>35735</v>
      </c>
      <c r="B96">
        <v>100.850221446386</v>
      </c>
      <c r="C96">
        <f t="shared" si="3"/>
        <v>-7.9179731968395117E-3</v>
      </c>
      <c r="D96">
        <v>1.0141870006918901E-3</v>
      </c>
      <c r="E96" s="3">
        <f t="shared" si="4"/>
        <v>101.75501458049692</v>
      </c>
      <c r="F96">
        <v>2.5877507869154199E-4</v>
      </c>
      <c r="G96">
        <f t="shared" si="5"/>
        <v>101.67822550783877</v>
      </c>
    </row>
    <row r="97" spans="1:8">
      <c r="A97" s="1">
        <v>35765</v>
      </c>
      <c r="B97">
        <v>102.336611232544</v>
      </c>
      <c r="C97">
        <f t="shared" si="3"/>
        <v>1.4631029797090633E-2</v>
      </c>
      <c r="D97">
        <v>4.9168110126629396E-4</v>
      </c>
      <c r="E97" s="3">
        <f t="shared" si="4"/>
        <v>100.89980759432972</v>
      </c>
      <c r="F97">
        <v>1.3536789920180999E-3</v>
      </c>
      <c r="G97">
        <f t="shared" si="5"/>
        <v>100.98674027249835</v>
      </c>
    </row>
    <row r="98" spans="1:8">
      <c r="A98" s="1">
        <v>35796</v>
      </c>
      <c r="B98">
        <v>101.937535004125</v>
      </c>
      <c r="C98">
        <f t="shared" si="3"/>
        <v>-3.9072662251857793E-3</v>
      </c>
      <c r="D98">
        <v>-5.2421120926737699E-3</v>
      </c>
      <c r="E98" s="3">
        <f t="shared" si="4"/>
        <v>101.80015124527863</v>
      </c>
      <c r="F98">
        <v>3.16400127485394E-3</v>
      </c>
      <c r="G98">
        <f t="shared" si="5"/>
        <v>102.660404400948</v>
      </c>
    </row>
    <row r="99" spans="1:8">
      <c r="A99" s="1">
        <v>35827</v>
      </c>
      <c r="B99">
        <v>101.12922089066301</v>
      </c>
      <c r="C99">
        <f t="shared" si="3"/>
        <v>-7.961109922619336E-3</v>
      </c>
      <c r="D99">
        <v>-5.5828089825809002E-3</v>
      </c>
      <c r="E99" s="3">
        <f t="shared" si="4"/>
        <v>101.36843721804181</v>
      </c>
      <c r="F99">
        <v>-6.3703376799821802E-3</v>
      </c>
      <c r="G99">
        <f t="shared" si="5"/>
        <v>101.28815848388372</v>
      </c>
    </row>
    <row r="100" spans="1:8">
      <c r="A100" s="1">
        <v>35855</v>
      </c>
      <c r="B100">
        <v>98.674984525338402</v>
      </c>
      <c r="C100">
        <f t="shared" si="3"/>
        <v>-2.4567649122301916E-2</v>
      </c>
      <c r="D100">
        <v>6.1344931600615295E-4</v>
      </c>
      <c r="E100" s="3">
        <f t="shared" si="4"/>
        <v>101.19125854204663</v>
      </c>
      <c r="F100">
        <v>-7.0051350630819798E-3</v>
      </c>
      <c r="G100">
        <f t="shared" si="5"/>
        <v>100.42079703949966</v>
      </c>
    </row>
    <row r="101" spans="1:8">
      <c r="A101" s="1">
        <v>35886</v>
      </c>
      <c r="B101">
        <v>101.526200806617</v>
      </c>
      <c r="C101">
        <f t="shared" si="3"/>
        <v>2.8485436471895831E-2</v>
      </c>
      <c r="D101">
        <v>3.73181723989546E-3</v>
      </c>
      <c r="E101" s="3">
        <f t="shared" si="4"/>
        <v>99.043221533736471</v>
      </c>
      <c r="F101">
        <v>2.11037602275609E-2</v>
      </c>
      <c r="G101">
        <f t="shared" si="5"/>
        <v>100.75739773921943</v>
      </c>
    </row>
    <row r="102" spans="1:8">
      <c r="A102" s="1">
        <v>35916</v>
      </c>
      <c r="B102">
        <v>101.70658055249</v>
      </c>
      <c r="C102">
        <f t="shared" si="3"/>
        <v>1.7751052958230318E-3</v>
      </c>
      <c r="D102">
        <v>9.4682892085984295E-4</v>
      </c>
      <c r="E102" s="3">
        <f t="shared" si="4"/>
        <v>101.62232874976573</v>
      </c>
      <c r="F102" s="3">
        <v>4.4251530198380297E-5</v>
      </c>
      <c r="G102">
        <f t="shared" si="5"/>
        <v>101.53069349635791</v>
      </c>
    </row>
    <row r="103" spans="1:8">
      <c r="A103" s="1">
        <v>35947</v>
      </c>
      <c r="B103">
        <v>102.080292980539</v>
      </c>
      <c r="C103">
        <f t="shared" si="3"/>
        <v>3.6676832074453714E-3</v>
      </c>
      <c r="D103">
        <v>7.0875897072255603E-3</v>
      </c>
      <c r="E103" s="3">
        <f t="shared" si="4"/>
        <v>102.42743506597093</v>
      </c>
      <c r="F103">
        <v>-9.3817748129367794E-3</v>
      </c>
      <c r="G103">
        <f t="shared" si="5"/>
        <v>100.75239231675272</v>
      </c>
    </row>
    <row r="104" spans="1:8">
      <c r="A104" s="1">
        <v>35977</v>
      </c>
      <c r="B104">
        <v>103.037129424803</v>
      </c>
      <c r="C104">
        <f t="shared" si="3"/>
        <v>9.3297134253180758E-3</v>
      </c>
      <c r="D104">
        <v>2.7308803983032699E-3</v>
      </c>
      <c r="E104" s="3">
        <f t="shared" si="4"/>
        <v>102.3590620516926</v>
      </c>
      <c r="F104">
        <v>4.7092279419302902E-4</v>
      </c>
      <c r="G104">
        <f t="shared" si="5"/>
        <v>102.12836491734144</v>
      </c>
    </row>
    <row r="105" spans="1:8">
      <c r="A105" s="1">
        <v>36008</v>
      </c>
      <c r="B105">
        <v>100.601444855588</v>
      </c>
      <c r="C105">
        <f t="shared" si="3"/>
        <v>-2.3922783180748475E-2</v>
      </c>
      <c r="D105">
        <v>3.0696010799147102E-4</v>
      </c>
      <c r="E105" s="3">
        <f t="shared" si="4"/>
        <v>103.06875771317837</v>
      </c>
      <c r="F105">
        <v>1.4171752845868401E-3</v>
      </c>
      <c r="G105">
        <f t="shared" si="5"/>
        <v>103.1831510980186</v>
      </c>
    </row>
    <row r="106" spans="1:8">
      <c r="A106" s="1">
        <v>36039</v>
      </c>
      <c r="B106">
        <v>102.52861098832101</v>
      </c>
      <c r="C106">
        <f t="shared" si="3"/>
        <v>1.8975271277771988E-2</v>
      </c>
      <c r="D106">
        <v>-2.4425392621196801E-4</v>
      </c>
      <c r="E106" s="3">
        <f t="shared" si="4"/>
        <v>100.57687255769943</v>
      </c>
      <c r="F106">
        <v>9.0548832667991497E-4</v>
      </c>
      <c r="G106">
        <f t="shared" si="5"/>
        <v>100.69253828955186</v>
      </c>
    </row>
    <row r="107" spans="1:8">
      <c r="A107" s="1">
        <v>36069</v>
      </c>
      <c r="B107">
        <v>102.868290805341</v>
      </c>
      <c r="C107">
        <f t="shared" si="3"/>
        <v>3.307548689633677E-3</v>
      </c>
      <c r="D107">
        <v>3.39530478231608E-3</v>
      </c>
      <c r="E107" s="3">
        <f t="shared" si="4"/>
        <v>102.87672687153388</v>
      </c>
      <c r="F107">
        <v>-1.5729651786386899E-3</v>
      </c>
      <c r="G107">
        <f t="shared" si="5"/>
        <v>102.36733705342219</v>
      </c>
    </row>
    <row r="108" spans="1:8">
      <c r="A108" s="1">
        <v>36100</v>
      </c>
      <c r="B108">
        <v>99.965991127621606</v>
      </c>
      <c r="C108">
        <f t="shared" si="3"/>
        <v>-2.8619400490474511E-2</v>
      </c>
      <c r="D108">
        <v>-3.2888364512473301E-3</v>
      </c>
      <c r="E108" s="3">
        <f t="shared" si="4"/>
        <v>102.52997382086289</v>
      </c>
      <c r="F108">
        <v>-1.4782107900828099E-3</v>
      </c>
      <c r="G108">
        <f t="shared" si="5"/>
        <v>102.71622978791517</v>
      </c>
    </row>
    <row r="109" spans="1:8">
      <c r="A109" s="1">
        <v>36130</v>
      </c>
      <c r="B109">
        <v>102.334364824885</v>
      </c>
      <c r="C109">
        <f t="shared" si="3"/>
        <v>2.3415499169267662E-2</v>
      </c>
      <c r="D109">
        <v>-3.3732140436768501E-3</v>
      </c>
      <c r="E109" s="3">
        <f t="shared" si="4"/>
        <v>99.628784442459832</v>
      </c>
      <c r="F109">
        <v>-2.1556991850957201E-4</v>
      </c>
      <c r="G109">
        <f t="shared" si="5"/>
        <v>99.9444414670605</v>
      </c>
    </row>
    <row r="110" spans="1:8">
      <c r="A110" s="1">
        <v>36161</v>
      </c>
      <c r="B110">
        <v>101.432838752829</v>
      </c>
      <c r="C110">
        <f t="shared" si="3"/>
        <v>-8.8486462842629621E-3</v>
      </c>
      <c r="D110" s="3">
        <v>-1.32826244225725E-7</v>
      </c>
      <c r="E110" s="3">
        <f t="shared" si="4"/>
        <v>102.33435123219567</v>
      </c>
      <c r="F110" s="3">
        <v>-5.3720424375569501E-7</v>
      </c>
      <c r="G110">
        <f t="shared" si="5"/>
        <v>102.33430985042993</v>
      </c>
      <c r="H110" s="3"/>
    </row>
    <row r="111" spans="1:8">
      <c r="A111" s="1">
        <v>36192</v>
      </c>
      <c r="B111">
        <v>101.627929872696</v>
      </c>
      <c r="C111">
        <f t="shared" si="3"/>
        <v>1.9215053819952033E-3</v>
      </c>
      <c r="D111" s="3">
        <v>-5.0434937293175597E-7</v>
      </c>
      <c r="E111" s="3">
        <f t="shared" si="4"/>
        <v>101.43278759524038</v>
      </c>
      <c r="F111" s="3">
        <v>-3.12869883600797E-6</v>
      </c>
      <c r="G111">
        <f t="shared" si="5"/>
        <v>101.43252140002446</v>
      </c>
      <c r="H111" s="3"/>
    </row>
    <row r="112" spans="1:8">
      <c r="A112" s="1">
        <v>36220</v>
      </c>
      <c r="B112">
        <v>102.107497304544</v>
      </c>
      <c r="C112">
        <f t="shared" si="3"/>
        <v>4.7077557812285065E-3</v>
      </c>
      <c r="D112" s="3">
        <v>-6.1075087387507601E-7</v>
      </c>
      <c r="E112" s="3">
        <f t="shared" si="4"/>
        <v>101.62786780334902</v>
      </c>
      <c r="F112" s="3">
        <v>2.41797647504427E-6</v>
      </c>
      <c r="G112">
        <f t="shared" si="5"/>
        <v>101.62817560663964</v>
      </c>
      <c r="H112" s="3"/>
    </row>
    <row r="113" spans="1:7">
      <c r="A113" s="1">
        <v>36251</v>
      </c>
      <c r="B113">
        <v>101.206416644406</v>
      </c>
      <c r="C113">
        <f t="shared" si="3"/>
        <v>-8.8639930488003671E-3</v>
      </c>
      <c r="D113">
        <v>8.9670354500412906E-3</v>
      </c>
      <c r="E113" s="3">
        <f t="shared" si="4"/>
        <v>103.02309885258884</v>
      </c>
      <c r="F113">
        <v>-3.4698408562689998E-3</v>
      </c>
      <c r="G113">
        <f t="shared" si="5"/>
        <v>101.75320053866531</v>
      </c>
    </row>
    <row r="114" spans="1:7">
      <c r="A114" s="1">
        <v>36281</v>
      </c>
      <c r="B114">
        <v>100.212507510718</v>
      </c>
      <c r="C114">
        <f t="shared" si="3"/>
        <v>-9.869154103467892E-3</v>
      </c>
      <c r="D114">
        <v>6.44510146230459E-4</v>
      </c>
      <c r="E114" s="3">
        <f t="shared" si="4"/>
        <v>101.27164520679695</v>
      </c>
      <c r="F114">
        <v>-7.4032354168593797E-3</v>
      </c>
      <c r="G114">
        <f t="shared" si="5"/>
        <v>100.45716171629071</v>
      </c>
    </row>
    <row r="115" spans="1:7">
      <c r="A115" s="1">
        <v>36312</v>
      </c>
      <c r="B115">
        <v>100.63194004880999</v>
      </c>
      <c r="C115">
        <f t="shared" si="3"/>
        <v>4.1766964726308586E-3</v>
      </c>
      <c r="D115">
        <v>-1.9879434257745701E-2</v>
      </c>
      <c r="E115" s="3">
        <f t="shared" si="4"/>
        <v>98.220339555854835</v>
      </c>
      <c r="F115">
        <v>6.0518819373100996E-4</v>
      </c>
      <c r="G115">
        <f t="shared" si="5"/>
        <v>100.27315493712767</v>
      </c>
    </row>
    <row r="116" spans="1:7">
      <c r="A116" s="1">
        <v>36342</v>
      </c>
      <c r="B116">
        <v>100.210574221139</v>
      </c>
      <c r="C116">
        <f t="shared" si="3"/>
        <v>-4.1959885577771416E-3</v>
      </c>
      <c r="D116">
        <v>3.8351688534021301E-2</v>
      </c>
      <c r="E116" s="3">
        <f t="shared" si="4"/>
        <v>104.49134487013626</v>
      </c>
      <c r="F116">
        <v>4.6903369948267902E-3</v>
      </c>
      <c r="G116">
        <f t="shared" si="5"/>
        <v>101.10393776008212</v>
      </c>
    </row>
    <row r="117" spans="1:7">
      <c r="A117" s="1">
        <v>36373</v>
      </c>
      <c r="B117">
        <v>100.389990670733</v>
      </c>
      <c r="C117">
        <f t="shared" si="3"/>
        <v>1.788793541352085E-3</v>
      </c>
      <c r="D117">
        <v>-8.6747892200946808E-3</v>
      </c>
      <c r="E117" s="3">
        <f t="shared" si="4"/>
        <v>99.341268612145967</v>
      </c>
      <c r="F117">
        <v>-4.19921008870005E-3</v>
      </c>
      <c r="G117">
        <f t="shared" si="5"/>
        <v>99.789768966875172</v>
      </c>
    </row>
    <row r="118" spans="1:7">
      <c r="A118" s="1">
        <v>36404</v>
      </c>
      <c r="B118">
        <v>102.573509340841</v>
      </c>
      <c r="C118">
        <f t="shared" si="3"/>
        <v>2.1517198066730359E-2</v>
      </c>
      <c r="D118">
        <v>-2.5965182110667201E-2</v>
      </c>
      <c r="E118" s="3">
        <f t="shared" si="4"/>
        <v>97.783346280879229</v>
      </c>
      <c r="F118">
        <v>3.2205886673182201E-3</v>
      </c>
      <c r="G118">
        <f t="shared" si="5"/>
        <v>100.71330553699934</v>
      </c>
    </row>
    <row r="119" spans="1:7">
      <c r="A119" s="1">
        <v>36434</v>
      </c>
      <c r="B119">
        <v>101.29686701662</v>
      </c>
      <c r="C119">
        <f t="shared" si="3"/>
        <v>-1.2524222836308496E-2</v>
      </c>
      <c r="D119">
        <v>-9.9408417008817196E-4</v>
      </c>
      <c r="E119" s="3">
        <f t="shared" si="4"/>
        <v>102.47154263893488</v>
      </c>
      <c r="F119">
        <v>1.3266323134302999E-2</v>
      </c>
      <c r="G119">
        <f t="shared" si="5"/>
        <v>103.93428266077605</v>
      </c>
    </row>
    <row r="120" spans="1:7">
      <c r="A120" s="1">
        <v>36465</v>
      </c>
      <c r="B120">
        <v>103.162882593115</v>
      </c>
      <c r="C120">
        <f t="shared" si="3"/>
        <v>1.8253640553559158E-2</v>
      </c>
      <c r="D120">
        <v>8.9772446081042203E-3</v>
      </c>
      <c r="E120" s="3">
        <f t="shared" si="4"/>
        <v>102.20623376986281</v>
      </c>
      <c r="F120">
        <v>-2.2521801292896201E-3</v>
      </c>
      <c r="G120">
        <f t="shared" si="5"/>
        <v>101.06872822556588</v>
      </c>
    </row>
    <row r="121" spans="1:7">
      <c r="A121" s="1">
        <v>36495</v>
      </c>
      <c r="B121">
        <v>103.388375891546</v>
      </c>
      <c r="C121">
        <f t="shared" si="3"/>
        <v>2.1834133538378708E-3</v>
      </c>
      <c r="D121">
        <v>7.31625780463218E-3</v>
      </c>
      <c r="E121" s="3">
        <f t="shared" si="4"/>
        <v>103.91764883803523</v>
      </c>
      <c r="F121">
        <v>4.28527733311057E-3</v>
      </c>
      <c r="G121">
        <f t="shared" si="5"/>
        <v>103.60496415550962</v>
      </c>
    </row>
    <row r="122" spans="1:7">
      <c r="A122" s="1">
        <v>36526</v>
      </c>
      <c r="B122">
        <v>101.515959091249</v>
      </c>
      <c r="C122">
        <f t="shared" si="3"/>
        <v>-1.8276518362789318E-2</v>
      </c>
      <c r="D122">
        <v>1.34415773209184E-3</v>
      </c>
      <c r="E122" s="3">
        <f t="shared" si="4"/>
        <v>103.52734617640904</v>
      </c>
      <c r="F122">
        <v>-1.8228632688988E-4</v>
      </c>
      <c r="G122">
        <f t="shared" si="5"/>
        <v>103.36952960426163</v>
      </c>
    </row>
    <row r="123" spans="1:7">
      <c r="A123" s="1">
        <v>36557</v>
      </c>
      <c r="B123">
        <v>102.27574722987301</v>
      </c>
      <c r="C123">
        <f t="shared" si="3"/>
        <v>7.4565513258448846E-3</v>
      </c>
      <c r="D123">
        <v>-4.0014996193349301E-3</v>
      </c>
      <c r="E123" s="3">
        <f t="shared" si="4"/>
        <v>101.10974301958895</v>
      </c>
      <c r="F123">
        <v>-2.18022571061737E-4</v>
      </c>
      <c r="G123">
        <f t="shared" si="5"/>
        <v>101.49382632084414</v>
      </c>
    </row>
    <row r="124" spans="1:7">
      <c r="A124" s="1">
        <v>36586</v>
      </c>
      <c r="B124">
        <v>103.77885417583499</v>
      </c>
      <c r="C124">
        <f t="shared" si="3"/>
        <v>1.4589663108790063E-2</v>
      </c>
      <c r="D124">
        <v>1.75530521664768E-3</v>
      </c>
      <c r="E124" s="3">
        <f t="shared" si="4"/>
        <v>102.45527238252214</v>
      </c>
      <c r="F124">
        <v>-5.01727510709315E-4</v>
      </c>
      <c r="G124">
        <f t="shared" si="5"/>
        <v>102.22443267380943</v>
      </c>
    </row>
    <row r="125" spans="1:7">
      <c r="A125" s="1">
        <v>36617</v>
      </c>
      <c r="B125">
        <v>100.372625999364</v>
      </c>
      <c r="C125">
        <f t="shared" si="3"/>
        <v>-3.3372712309557073E-2</v>
      </c>
      <c r="D125">
        <v>-9.3896202743053402E-3</v>
      </c>
      <c r="E125" s="3">
        <f t="shared" si="4"/>
        <v>102.80441014262139</v>
      </c>
      <c r="F125">
        <v>-2.6499507948756201E-2</v>
      </c>
      <c r="G125">
        <f t="shared" si="5"/>
        <v>101.02876560468964</v>
      </c>
    </row>
    <row r="126" spans="1:7">
      <c r="A126" s="1">
        <v>36647</v>
      </c>
      <c r="B126">
        <v>100.913124018015</v>
      </c>
      <c r="C126">
        <f t="shared" si="3"/>
        <v>5.3704677821189151E-3</v>
      </c>
      <c r="D126">
        <v>-2.7929320931434601E-3</v>
      </c>
      <c r="E126" s="3">
        <f t="shared" si="4"/>
        <v>100.09229207093729</v>
      </c>
      <c r="F126">
        <v>-8.5718641057610494E-3</v>
      </c>
      <c r="G126">
        <f t="shared" si="5"/>
        <v>99.512245489359074</v>
      </c>
    </row>
    <row r="127" spans="1:7">
      <c r="A127" s="1">
        <v>36678</v>
      </c>
      <c r="B127">
        <v>101.67688226454101</v>
      </c>
      <c r="C127">
        <f t="shared" si="3"/>
        <v>7.5399757265470768E-3</v>
      </c>
      <c r="D127">
        <v>-2.9125018045306201E-3</v>
      </c>
      <c r="E127" s="3">
        <f t="shared" si="4"/>
        <v>100.61921436221171</v>
      </c>
      <c r="F127">
        <v>1.99763178825378E-2</v>
      </c>
      <c r="G127">
        <f t="shared" si="5"/>
        <v>102.92899666191883</v>
      </c>
    </row>
    <row r="128" spans="1:7">
      <c r="A128" s="1">
        <v>36708</v>
      </c>
      <c r="B128">
        <v>101.424659408449</v>
      </c>
      <c r="C128">
        <f t="shared" si="3"/>
        <v>-2.4837131581998406E-3</v>
      </c>
      <c r="D128">
        <v>-3.2962980912998302E-4</v>
      </c>
      <c r="E128" s="3">
        <f t="shared" si="4"/>
        <v>101.64336653324722</v>
      </c>
      <c r="F128">
        <v>-4.4152946793474197E-4</v>
      </c>
      <c r="G128">
        <f t="shared" si="5"/>
        <v>101.63198892481348</v>
      </c>
    </row>
    <row r="129" spans="1:7">
      <c r="A129" s="1">
        <v>36739</v>
      </c>
      <c r="B129">
        <v>101.083779362857</v>
      </c>
      <c r="C129">
        <f t="shared" si="3"/>
        <v>-3.3665793842203584E-3</v>
      </c>
      <c r="D129">
        <v>-5.2679993677884297E-4</v>
      </c>
      <c r="E129" s="3">
        <f t="shared" si="4"/>
        <v>101.37122890428482</v>
      </c>
      <c r="F129">
        <v>-1.12112576607614E-3</v>
      </c>
      <c r="G129">
        <f t="shared" si="5"/>
        <v>101.3109496094707</v>
      </c>
    </row>
    <row r="130" spans="1:7">
      <c r="A130" s="1">
        <v>36770</v>
      </c>
      <c r="B130">
        <v>100.33343049120199</v>
      </c>
      <c r="C130">
        <f t="shared" si="3"/>
        <v>-7.4507272083943477E-3</v>
      </c>
      <c r="D130">
        <v>4.5774329919368002E-4</v>
      </c>
      <c r="E130" s="3">
        <f t="shared" si="4"/>
        <v>101.13004978551753</v>
      </c>
      <c r="F130">
        <v>1.1639686999842501E-3</v>
      </c>
      <c r="G130">
        <f t="shared" si="5"/>
        <v>101.20143771811148</v>
      </c>
    </row>
    <row r="131" spans="1:7">
      <c r="A131" s="1">
        <v>36800</v>
      </c>
      <c r="B131">
        <v>103.02305005203399</v>
      </c>
      <c r="C131">
        <f t="shared" si="3"/>
        <v>2.6453805674883313E-2</v>
      </c>
      <c r="D131">
        <v>0.15135371685028001</v>
      </c>
      <c r="E131" s="3">
        <f t="shared" si="4"/>
        <v>115.51926812038464</v>
      </c>
      <c r="F131">
        <v>9.3276128172874399E-3</v>
      </c>
      <c r="G131">
        <f t="shared" si="5"/>
        <v>101.26930188345415</v>
      </c>
    </row>
    <row r="132" spans="1:7">
      <c r="A132" s="1">
        <v>36831</v>
      </c>
      <c r="B132">
        <v>103.71357556634899</v>
      </c>
      <c r="C132">
        <f t="shared" ref="C132:C195" si="6">LN(B132)-LN(B131)</f>
        <v>6.6802684835955972E-3</v>
      </c>
      <c r="D132">
        <v>-0.75372201204299905</v>
      </c>
      <c r="E132" s="3">
        <f t="shared" si="4"/>
        <v>25.37230948000834</v>
      </c>
      <c r="F132">
        <v>1.0710418224334699E-2</v>
      </c>
      <c r="G132">
        <f t="shared" si="5"/>
        <v>104.12647000483784</v>
      </c>
    </row>
    <row r="133" spans="1:7">
      <c r="A133" s="1">
        <v>36861</v>
      </c>
      <c r="B133">
        <v>102.964496851238</v>
      </c>
      <c r="C133">
        <f t="shared" si="6"/>
        <v>-7.2487805441863173E-3</v>
      </c>
      <c r="D133">
        <v>0.62476521730422896</v>
      </c>
      <c r="E133" s="3">
        <f t="shared" ref="E133:E196" si="7">B132*D133+B132</f>
        <v>168.51021014245759</v>
      </c>
      <c r="F133">
        <v>2.3588947951793601E-3</v>
      </c>
      <c r="G133">
        <f t="shared" si="5"/>
        <v>103.95822497994189</v>
      </c>
    </row>
    <row r="134" spans="1:7">
      <c r="A134" s="1">
        <v>36892</v>
      </c>
      <c r="B134">
        <v>102.877299367879</v>
      </c>
      <c r="C134">
        <f t="shared" si="6"/>
        <v>-8.4722821289417993E-4</v>
      </c>
      <c r="D134">
        <v>-6.4735068008303599E-3</v>
      </c>
      <c r="E134" s="3">
        <f t="shared" si="7"/>
        <v>102.29795548062744</v>
      </c>
      <c r="F134">
        <v>-3.3433863427489901E-3</v>
      </c>
      <c r="G134">
        <f t="shared" si="5"/>
        <v>102.62024675867755</v>
      </c>
    </row>
    <row r="135" spans="1:7">
      <c r="A135" s="1">
        <v>36923</v>
      </c>
      <c r="B135">
        <v>101.246434089345</v>
      </c>
      <c r="C135">
        <f t="shared" si="6"/>
        <v>-1.5979523336763002E-2</v>
      </c>
      <c r="D135">
        <v>-5.12478267773985E-3</v>
      </c>
      <c r="E135" s="3">
        <f t="shared" si="7"/>
        <v>102.35007556614585</v>
      </c>
      <c r="F135">
        <v>-9.0608913451433095E-3</v>
      </c>
      <c r="G135">
        <f t="shared" ref="G135:G198" si="8">B134*F135+B134</f>
        <v>101.94513933642487</v>
      </c>
    </row>
    <row r="136" spans="1:7">
      <c r="A136" s="1">
        <v>36951</v>
      </c>
      <c r="B136">
        <v>101.07948600482</v>
      </c>
      <c r="C136">
        <f t="shared" si="6"/>
        <v>-1.6502890221570254E-3</v>
      </c>
      <c r="D136">
        <v>-3.0315734911709998E-3</v>
      </c>
      <c r="E136" s="3">
        <f t="shared" si="7"/>
        <v>100.93949808368416</v>
      </c>
      <c r="F136">
        <v>-2.2255855146795498E-3</v>
      </c>
      <c r="G136">
        <f t="shared" si="8"/>
        <v>101.0211014922228</v>
      </c>
    </row>
    <row r="137" spans="1:7">
      <c r="A137" s="1">
        <v>36982</v>
      </c>
      <c r="B137">
        <v>102.949171113681</v>
      </c>
      <c r="C137">
        <f t="shared" si="6"/>
        <v>1.8328184619348598E-2</v>
      </c>
      <c r="D137">
        <v>6.0656227171421002E-2</v>
      </c>
      <c r="E137" s="3">
        <f t="shared" si="7"/>
        <v>107.21058627029883</v>
      </c>
      <c r="F137">
        <v>4.4494061730801998E-3</v>
      </c>
      <c r="G137">
        <f t="shared" si="8"/>
        <v>101.52922969382162</v>
      </c>
    </row>
    <row r="138" spans="1:7">
      <c r="A138" s="1">
        <v>37012</v>
      </c>
      <c r="B138">
        <v>102.737818582012</v>
      </c>
      <c r="C138">
        <f t="shared" si="6"/>
        <v>-2.0550896910602745E-3</v>
      </c>
      <c r="D138">
        <v>-4.7452393919229499E-3</v>
      </c>
      <c r="E138" s="3">
        <f t="shared" si="7"/>
        <v>102.46065265154655</v>
      </c>
      <c r="F138">
        <v>9.0264100581407495E-3</v>
      </c>
      <c r="G138">
        <f t="shared" si="8"/>
        <v>103.87843254729879</v>
      </c>
    </row>
    <row r="139" spans="1:7">
      <c r="A139" s="1">
        <v>37043</v>
      </c>
      <c r="B139">
        <v>103.4360439658</v>
      </c>
      <c r="C139">
        <f t="shared" si="6"/>
        <v>6.7731966068285132E-3</v>
      </c>
      <c r="D139">
        <v>-4.3149471282958901E-2</v>
      </c>
      <c r="E139" s="3">
        <f t="shared" si="7"/>
        <v>98.304736029433627</v>
      </c>
      <c r="F139">
        <v>-7.1429793024435596E-4</v>
      </c>
      <c r="G139">
        <f t="shared" si="8"/>
        <v>102.66443317084105</v>
      </c>
    </row>
    <row r="140" spans="1:7">
      <c r="A140" s="1">
        <v>37073</v>
      </c>
      <c r="B140">
        <v>102.844988985578</v>
      </c>
      <c r="C140">
        <f t="shared" si="6"/>
        <v>-5.7305956759234888E-3</v>
      </c>
      <c r="D140">
        <v>1.5631618443876501E-3</v>
      </c>
      <c r="E140" s="3">
        <f t="shared" si="7"/>
        <v>103.59773124306174</v>
      </c>
      <c r="F140">
        <v>-4.4697565026581201E-3</v>
      </c>
      <c r="G140">
        <f t="shared" si="8"/>
        <v>102.97371003567463</v>
      </c>
    </row>
    <row r="141" spans="1:7">
      <c r="A141" s="1">
        <v>37104</v>
      </c>
      <c r="B141">
        <v>100.007727612119</v>
      </c>
      <c r="C141">
        <f t="shared" si="6"/>
        <v>-2.7975434209183803E-2</v>
      </c>
      <c r="D141">
        <v>-1.7502216622233301E-2</v>
      </c>
      <c r="E141" s="3">
        <f t="shared" si="7"/>
        <v>101.04497370984122</v>
      </c>
      <c r="F141">
        <v>-9.0263312449678703E-4</v>
      </c>
      <c r="G141">
        <f t="shared" si="8"/>
        <v>102.75215769183112</v>
      </c>
    </row>
    <row r="142" spans="1:7">
      <c r="A142" s="1">
        <v>37135</v>
      </c>
      <c r="B142">
        <v>102.03728209544499</v>
      </c>
      <c r="C142">
        <f t="shared" si="6"/>
        <v>2.0090798117514908E-2</v>
      </c>
      <c r="D142">
        <v>2.1507416386157201E-3</v>
      </c>
      <c r="E142" s="3">
        <f t="shared" si="7"/>
        <v>100.22281839607773</v>
      </c>
      <c r="F142">
        <v>-8.4159243851900101E-3</v>
      </c>
      <c r="G142">
        <f t="shared" si="8"/>
        <v>99.16607013860073</v>
      </c>
    </row>
    <row r="143" spans="1:7">
      <c r="A143" s="1">
        <v>37165</v>
      </c>
      <c r="B143">
        <v>100.604936226681</v>
      </c>
      <c r="C143">
        <f t="shared" si="6"/>
        <v>-1.4136932919647016E-2</v>
      </c>
      <c r="D143">
        <v>1.60344829782843E-3</v>
      </c>
      <c r="E143" s="3">
        <f t="shared" si="7"/>
        <v>102.20089360173597</v>
      </c>
      <c r="F143">
        <v>-3.8903374224901199E-3</v>
      </c>
      <c r="G143">
        <f t="shared" si="8"/>
        <v>101.6403226384199</v>
      </c>
    </row>
    <row r="144" spans="1:7">
      <c r="A144" s="1">
        <v>37196</v>
      </c>
      <c r="B144">
        <v>101.682812419775</v>
      </c>
      <c r="C144">
        <f t="shared" si="6"/>
        <v>1.0656961695027611E-2</v>
      </c>
      <c r="D144">
        <v>-2.9724468477070301E-3</v>
      </c>
      <c r="E144" s="3">
        <f t="shared" si="7"/>
        <v>100.30589340113023</v>
      </c>
      <c r="F144">
        <v>9.6605258295312502E-4</v>
      </c>
      <c r="G144">
        <f t="shared" si="8"/>
        <v>100.70212588518062</v>
      </c>
    </row>
    <row r="145" spans="1:8">
      <c r="A145" s="1">
        <v>37226</v>
      </c>
      <c r="B145">
        <v>102.158459665671</v>
      </c>
      <c r="C145">
        <f t="shared" si="6"/>
        <v>4.6668479283731301E-3</v>
      </c>
      <c r="D145" s="3">
        <v>-8.7637134129181504E-5</v>
      </c>
      <c r="E145" s="3">
        <f t="shared" si="7"/>
        <v>101.67390122950434</v>
      </c>
      <c r="F145">
        <v>1.4676491264253801E-3</v>
      </c>
      <c r="G145">
        <f t="shared" si="8"/>
        <v>101.83204711059537</v>
      </c>
      <c r="H145" s="3"/>
    </row>
    <row r="146" spans="1:8">
      <c r="A146" s="1">
        <v>37257</v>
      </c>
      <c r="B146">
        <v>104.494885953089</v>
      </c>
      <c r="C146">
        <f t="shared" si="6"/>
        <v>2.2612998014494679E-2</v>
      </c>
      <c r="D146">
        <v>3.3491051290184199E-3</v>
      </c>
      <c r="E146" s="3">
        <f t="shared" si="7"/>
        <v>102.50059908690993</v>
      </c>
      <c r="F146">
        <v>1.10167292878031E-2</v>
      </c>
      <c r="G146">
        <f t="shared" si="8"/>
        <v>103.28391176026665</v>
      </c>
    </row>
    <row r="147" spans="1:8">
      <c r="A147" s="1">
        <v>37288</v>
      </c>
      <c r="B147">
        <v>105.214413457163</v>
      </c>
      <c r="C147">
        <f t="shared" si="6"/>
        <v>6.8621690082695252E-3</v>
      </c>
      <c r="D147">
        <v>1.9493605941533999E-3</v>
      </c>
      <c r="E147" s="3">
        <f t="shared" si="7"/>
        <v>104.69858416605651</v>
      </c>
      <c r="F147">
        <v>1.2455193325877099E-2</v>
      </c>
      <c r="G147">
        <f t="shared" si="8"/>
        <v>105.7963899592002</v>
      </c>
    </row>
    <row r="148" spans="1:8">
      <c r="A148" s="1">
        <v>37316</v>
      </c>
      <c r="B148">
        <v>102.10430894621101</v>
      </c>
      <c r="C148">
        <f t="shared" si="6"/>
        <v>-3.0005373492563159E-2</v>
      </c>
      <c r="D148">
        <v>1.86127163469791E-2</v>
      </c>
      <c r="E148" s="3">
        <f t="shared" si="7"/>
        <v>107.17273949045496</v>
      </c>
      <c r="F148">
        <v>4.3926021317019999E-4</v>
      </c>
      <c r="G148">
        <f t="shared" si="8"/>
        <v>105.26062996284678</v>
      </c>
    </row>
    <row r="149" spans="1:8">
      <c r="A149" s="1">
        <v>37347</v>
      </c>
      <c r="B149">
        <v>101.524998183845</v>
      </c>
      <c r="C149">
        <f t="shared" si="6"/>
        <v>-5.6898717914908303E-3</v>
      </c>
      <c r="D149">
        <v>-1.1515690945088799E-2</v>
      </c>
      <c r="E149" s="3">
        <f t="shared" si="7"/>
        <v>100.92850728022458</v>
      </c>
      <c r="F149">
        <v>-3.9688497781753497E-3</v>
      </c>
      <c r="G149">
        <f t="shared" si="8"/>
        <v>101.69907228229908</v>
      </c>
    </row>
    <row r="150" spans="1:8">
      <c r="A150" s="1">
        <v>37377</v>
      </c>
      <c r="B150">
        <v>101.744092856946</v>
      </c>
      <c r="C150">
        <f t="shared" si="6"/>
        <v>2.1557114938168809E-3</v>
      </c>
      <c r="D150">
        <v>2.1655531600117601E-3</v>
      </c>
      <c r="E150" s="3">
        <f t="shared" si="7"/>
        <v>101.74485596448221</v>
      </c>
      <c r="F150">
        <v>-7.4470178224146297E-3</v>
      </c>
      <c r="G150">
        <f t="shared" si="8"/>
        <v>100.76893971294929</v>
      </c>
    </row>
    <row r="151" spans="1:8">
      <c r="A151" s="1">
        <v>37408</v>
      </c>
      <c r="B151">
        <v>102.316483438551</v>
      </c>
      <c r="C151">
        <f t="shared" si="6"/>
        <v>5.6100212319414311E-3</v>
      </c>
      <c r="D151">
        <v>-1.0825611650943701E-2</v>
      </c>
      <c r="E151" s="3">
        <f t="shared" si="7"/>
        <v>100.64265081989915</v>
      </c>
      <c r="F151">
        <v>-8.7598795071244205E-3</v>
      </c>
      <c r="G151">
        <f t="shared" si="8"/>
        <v>100.85282686295747</v>
      </c>
    </row>
    <row r="152" spans="1:8">
      <c r="A152" s="1">
        <v>37438</v>
      </c>
      <c r="B152">
        <v>100.93368907593801</v>
      </c>
      <c r="C152">
        <f t="shared" si="6"/>
        <v>-1.360703098997007E-2</v>
      </c>
      <c r="D152">
        <v>1.3181542744860001E-3</v>
      </c>
      <c r="E152" s="3">
        <f t="shared" si="7"/>
        <v>102.45135234854591</v>
      </c>
      <c r="F152">
        <v>1.09033321496099E-3</v>
      </c>
      <c r="G152">
        <f t="shared" si="8"/>
        <v>102.42804249888206</v>
      </c>
    </row>
    <row r="153" spans="1:8">
      <c r="A153" s="1">
        <v>37469</v>
      </c>
      <c r="B153">
        <v>103.447283300557</v>
      </c>
      <c r="C153">
        <f t="shared" si="6"/>
        <v>2.4598385437057502E-2</v>
      </c>
      <c r="D153">
        <v>2.0942320115864199E-3</v>
      </c>
      <c r="E153" s="3">
        <f t="shared" si="7"/>
        <v>101.14506763864834</v>
      </c>
      <c r="F153">
        <v>1.08965253457427E-3</v>
      </c>
      <c r="G153">
        <f t="shared" si="8"/>
        <v>101.04367172606354</v>
      </c>
    </row>
    <row r="154" spans="1:8">
      <c r="A154" s="1">
        <v>37500</v>
      </c>
      <c r="B154">
        <v>101.965528536354</v>
      </c>
      <c r="C154">
        <f t="shared" si="6"/>
        <v>-1.4427342217968153E-2</v>
      </c>
      <c r="D154">
        <v>-9.2542130732908802E-4</v>
      </c>
      <c r="E154" s="3">
        <f t="shared" si="7"/>
        <v>103.35155098040536</v>
      </c>
      <c r="F154">
        <v>3.06979054585099E-4</v>
      </c>
      <c r="G154">
        <f t="shared" si="8"/>
        <v>103.47903944978401</v>
      </c>
    </row>
    <row r="155" spans="1:8">
      <c r="A155" s="1">
        <v>37530</v>
      </c>
      <c r="B155">
        <v>102.28246430606301</v>
      </c>
      <c r="C155">
        <f t="shared" si="6"/>
        <v>3.1034432179737337E-3</v>
      </c>
      <c r="D155">
        <v>4.0166897815652099E-4</v>
      </c>
      <c r="E155" s="3">
        <f t="shared" si="7"/>
        <v>102.00648492600838</v>
      </c>
      <c r="F155">
        <v>7.9859013203531504E-4</v>
      </c>
      <c r="G155">
        <f t="shared" si="8"/>
        <v>102.0469572012509</v>
      </c>
    </row>
    <row r="156" spans="1:8">
      <c r="A156" s="1">
        <v>37561</v>
      </c>
      <c r="B156">
        <v>102.432960433863</v>
      </c>
      <c r="C156">
        <f t="shared" si="6"/>
        <v>1.4702961938768411E-3</v>
      </c>
      <c r="D156">
        <v>-4.8306252574548098E-4</v>
      </c>
      <c r="E156" s="3">
        <f t="shared" si="7"/>
        <v>102.23305548051584</v>
      </c>
      <c r="F156">
        <v>-6.3703412888571598E-4</v>
      </c>
      <c r="G156">
        <f t="shared" si="8"/>
        <v>102.21730688551351</v>
      </c>
    </row>
    <row r="157" spans="1:8">
      <c r="A157" s="1">
        <v>37591</v>
      </c>
      <c r="B157">
        <v>101.975908767696</v>
      </c>
      <c r="C157">
        <f t="shared" si="6"/>
        <v>-4.4719432149804561E-3</v>
      </c>
      <c r="D157">
        <v>1.20638974476605E-3</v>
      </c>
      <c r="E157" s="3">
        <f t="shared" si="7"/>
        <v>102.55653450685644</v>
      </c>
      <c r="F157">
        <v>9.6344028133898898E-4</v>
      </c>
      <c r="G157">
        <f t="shared" si="8"/>
        <v>102.53164847408179</v>
      </c>
    </row>
    <row r="158" spans="1:8">
      <c r="A158" s="1">
        <v>37622</v>
      </c>
      <c r="B158">
        <v>102.549949941458</v>
      </c>
      <c r="C158">
        <f t="shared" si="6"/>
        <v>5.6133995450053931E-3</v>
      </c>
      <c r="D158">
        <v>6.0076359659433304E-3</v>
      </c>
      <c r="E158" s="3">
        <f t="shared" si="7"/>
        <v>102.58854290486856</v>
      </c>
      <c r="F158">
        <v>-3.5170991905033502E-3</v>
      </c>
      <c r="G158">
        <f t="shared" si="8"/>
        <v>101.61724938151829</v>
      </c>
    </row>
    <row r="159" spans="1:8">
      <c r="A159" s="1">
        <v>37653</v>
      </c>
      <c r="B159">
        <v>101.152580207038</v>
      </c>
      <c r="C159">
        <f t="shared" si="6"/>
        <v>-1.3719924371855541E-2</v>
      </c>
      <c r="D159">
        <v>-7.6799481175839901E-3</v>
      </c>
      <c r="E159" s="3">
        <f t="shared" si="7"/>
        <v>101.76237164644677</v>
      </c>
      <c r="F159">
        <v>-2.36913654953241E-3</v>
      </c>
      <c r="G159">
        <f t="shared" si="8"/>
        <v>102.30699510689897</v>
      </c>
    </row>
    <row r="160" spans="1:8">
      <c r="A160" s="1">
        <v>37681</v>
      </c>
      <c r="B160">
        <v>101.14156933110399</v>
      </c>
      <c r="C160">
        <f t="shared" si="6"/>
        <v>-1.0886005324461934E-4</v>
      </c>
      <c r="D160">
        <v>-4.36900462955236E-3</v>
      </c>
      <c r="E160" s="3">
        <f t="shared" si="7"/>
        <v>100.71064411582229</v>
      </c>
      <c r="F160">
        <v>-1.5508105570916E-4</v>
      </c>
      <c r="G160">
        <f t="shared" si="8"/>
        <v>101.13689335811179</v>
      </c>
    </row>
    <row r="161" spans="1:8">
      <c r="A161" s="1">
        <v>37712</v>
      </c>
      <c r="B161">
        <v>100.98260900061</v>
      </c>
      <c r="C161">
        <f t="shared" si="6"/>
        <v>-1.5728980528546543E-3</v>
      </c>
      <c r="D161">
        <v>-6.3346221577376095E-4</v>
      </c>
      <c r="E161" s="3">
        <f t="shared" si="7"/>
        <v>101.07749996848868</v>
      </c>
      <c r="F161" s="3">
        <v>4.9649512220639702E-5</v>
      </c>
      <c r="G161">
        <f t="shared" si="8"/>
        <v>101.14659096068651</v>
      </c>
    </row>
    <row r="162" spans="1:8">
      <c r="A162" s="1">
        <v>37742</v>
      </c>
      <c r="B162">
        <v>102.332858018574</v>
      </c>
      <c r="C162">
        <f t="shared" si="6"/>
        <v>1.3282500236252659E-2</v>
      </c>
      <c r="D162">
        <v>3.0037676915526299E-3</v>
      </c>
      <c r="E162" s="3">
        <f t="shared" si="7"/>
        <v>101.28593729893473</v>
      </c>
      <c r="F162">
        <v>2.49321642331779E-3</v>
      </c>
      <c r="G162">
        <f t="shared" si="8"/>
        <v>101.2343804998398</v>
      </c>
    </row>
    <row r="163" spans="1:8">
      <c r="A163" s="1">
        <v>37773</v>
      </c>
      <c r="B163">
        <v>102.26322076763201</v>
      </c>
      <c r="C163">
        <f t="shared" si="6"/>
        <v>-6.8072911313077356E-4</v>
      </c>
      <c r="D163" s="3">
        <v>3.6513833038043197E-5</v>
      </c>
      <c r="E163" s="3">
        <f t="shared" si="7"/>
        <v>102.336594583466</v>
      </c>
      <c r="F163">
        <v>-1.3604652485810201E-4</v>
      </c>
      <c r="G163">
        <f t="shared" si="8"/>
        <v>102.31893598886178</v>
      </c>
      <c r="H163" s="3"/>
    </row>
    <row r="164" spans="1:8">
      <c r="A164" s="1">
        <v>37803</v>
      </c>
      <c r="B164">
        <v>102.356418410873</v>
      </c>
      <c r="C164">
        <f t="shared" si="6"/>
        <v>9.1093552954912838E-4</v>
      </c>
      <c r="D164">
        <v>-9.2056095600128104E-2</v>
      </c>
      <c r="E164" s="3">
        <f t="shared" si="7"/>
        <v>92.849267940269868</v>
      </c>
      <c r="F164">
        <v>-1.17392570246011E-3</v>
      </c>
      <c r="G164">
        <f t="shared" si="8"/>
        <v>102.14317134435653</v>
      </c>
    </row>
    <row r="165" spans="1:8">
      <c r="A165" s="1">
        <v>37834</v>
      </c>
      <c r="B165">
        <v>103.25188568249</v>
      </c>
      <c r="C165">
        <f t="shared" si="6"/>
        <v>8.7104743879553581E-3</v>
      </c>
      <c r="D165">
        <v>5.2176769822835901E-2</v>
      </c>
      <c r="E165" s="3">
        <f t="shared" si="7"/>
        <v>107.69704569418701</v>
      </c>
      <c r="F165">
        <v>2.3362257052212902E-3</v>
      </c>
      <c r="G165">
        <f t="shared" si="8"/>
        <v>102.59554610665887</v>
      </c>
    </row>
    <row r="166" spans="1:8">
      <c r="A166" s="1">
        <v>37865</v>
      </c>
      <c r="B166">
        <v>101.68847441768899</v>
      </c>
      <c r="C166">
        <f t="shared" si="6"/>
        <v>-1.5257527537030136E-2</v>
      </c>
      <c r="D166">
        <v>4.5485995709895997E-2</v>
      </c>
      <c r="E166" s="3">
        <f t="shared" si="7"/>
        <v>107.94840051168241</v>
      </c>
      <c r="F166">
        <v>4.4443695805966802E-3</v>
      </c>
      <c r="G166">
        <f t="shared" si="8"/>
        <v>103.7107752223565</v>
      </c>
    </row>
    <row r="167" spans="1:8">
      <c r="A167" s="1">
        <v>37895</v>
      </c>
      <c r="B167">
        <v>102.32431476386</v>
      </c>
      <c r="C167">
        <f t="shared" si="6"/>
        <v>6.2333582860727432E-3</v>
      </c>
      <c r="D167">
        <v>-6.9575528614223003E-3</v>
      </c>
      <c r="E167" s="3">
        <f t="shared" si="7"/>
        <v>100.98097148153053</v>
      </c>
      <c r="F167">
        <v>-0.116365373134613</v>
      </c>
      <c r="G167">
        <f t="shared" si="8"/>
        <v>89.85545714858506</v>
      </c>
    </row>
    <row r="168" spans="1:8">
      <c r="A168" s="1">
        <v>37926</v>
      </c>
      <c r="B168">
        <v>100.06242299423999</v>
      </c>
      <c r="C168">
        <f t="shared" si="6"/>
        <v>-2.2353104512059296E-2</v>
      </c>
      <c r="D168">
        <v>-4.3282066471874697E-3</v>
      </c>
      <c r="E168" s="3">
        <f t="shared" si="7"/>
        <v>101.88143398453016</v>
      </c>
      <c r="F168">
        <v>-7.8838162124156896E-2</v>
      </c>
      <c r="G168">
        <f t="shared" si="8"/>
        <v>94.257253847263542</v>
      </c>
    </row>
    <row r="169" spans="1:8">
      <c r="A169" s="1">
        <v>37956</v>
      </c>
      <c r="B169">
        <v>100.589196433354</v>
      </c>
      <c r="C169">
        <f t="shared" si="6"/>
        <v>5.2506394002076462E-3</v>
      </c>
      <c r="D169">
        <v>-2.8748491313308399E-3</v>
      </c>
      <c r="E169" s="3">
        <f t="shared" si="7"/>
        <v>99.774758624416151</v>
      </c>
      <c r="F169">
        <v>0.18104292452335299</v>
      </c>
      <c r="G169">
        <f t="shared" si="8"/>
        <v>118.17801668801</v>
      </c>
    </row>
    <row r="170" spans="1:8">
      <c r="A170" s="1">
        <v>37987</v>
      </c>
      <c r="B170">
        <v>100.69896746271699</v>
      </c>
      <c r="C170">
        <f t="shared" si="6"/>
        <v>1.0906854940717636E-3</v>
      </c>
      <c r="D170">
        <v>1.3435271102935E-4</v>
      </c>
      <c r="E170" s="3">
        <f t="shared" si="7"/>
        <v>100.6027108645951</v>
      </c>
      <c r="F170">
        <v>-6.6103314748033805E-4</v>
      </c>
      <c r="G170">
        <f t="shared" si="8"/>
        <v>100.52270364023315</v>
      </c>
    </row>
    <row r="171" spans="1:8">
      <c r="A171" s="1">
        <v>38018</v>
      </c>
      <c r="B171">
        <v>101.569498221206</v>
      </c>
      <c r="C171">
        <f t="shared" si="6"/>
        <v>8.6077296385198565E-3</v>
      </c>
      <c r="D171">
        <v>5.0489639397710497E-4</v>
      </c>
      <c r="E171" s="3">
        <f t="shared" si="7"/>
        <v>100.74981000826614</v>
      </c>
      <c r="F171">
        <v>7.7373412204906301E-4</v>
      </c>
      <c r="G171">
        <f t="shared" si="8"/>
        <v>100.776881689898</v>
      </c>
    </row>
    <row r="172" spans="1:8">
      <c r="A172" s="1">
        <v>38047</v>
      </c>
      <c r="B172">
        <v>100.96800815855499</v>
      </c>
      <c r="C172">
        <f t="shared" si="6"/>
        <v>-5.9395599531217869E-3</v>
      </c>
      <c r="D172">
        <v>2.2031646221876101E-4</v>
      </c>
      <c r="E172" s="3">
        <f t="shared" si="7"/>
        <v>101.59187565372343</v>
      </c>
      <c r="F172">
        <v>7.4686465086415399E-4</v>
      </c>
      <c r="G172">
        <f t="shared" si="8"/>
        <v>101.64535688903344</v>
      </c>
    </row>
    <row r="173" spans="1:8">
      <c r="A173" s="1">
        <v>38078</v>
      </c>
      <c r="B173">
        <v>101.938917412897</v>
      </c>
      <c r="C173">
        <f t="shared" si="6"/>
        <v>9.5700692497873163E-3</v>
      </c>
      <c r="D173">
        <v>-1.3370957458391701E-3</v>
      </c>
      <c r="E173" s="3">
        <f t="shared" si="7"/>
        <v>100.83300426438034</v>
      </c>
      <c r="F173">
        <v>-1.5751947648823201E-3</v>
      </c>
      <c r="G173">
        <f t="shared" si="8"/>
        <v>100.80896388068304</v>
      </c>
    </row>
    <row r="174" spans="1:8">
      <c r="A174" s="1">
        <v>38108</v>
      </c>
      <c r="B174">
        <v>99.6252686758381</v>
      </c>
      <c r="C174">
        <f t="shared" si="6"/>
        <v>-2.2957951031094659E-2</v>
      </c>
      <c r="D174">
        <v>-9.2180381761863795E-4</v>
      </c>
      <c r="E174" s="3">
        <f t="shared" si="7"/>
        <v>101.84494972966188</v>
      </c>
      <c r="F174">
        <v>-5.9509719721972899E-4</v>
      </c>
      <c r="G174">
        <f t="shared" si="8"/>
        <v>101.87825384885697</v>
      </c>
    </row>
    <row r="175" spans="1:8">
      <c r="A175" s="1">
        <v>38139</v>
      </c>
      <c r="B175">
        <v>100.755920577349</v>
      </c>
      <c r="C175">
        <f t="shared" si="6"/>
        <v>1.1285130157524748E-2</v>
      </c>
      <c r="D175">
        <v>-7.6763122342526902E-4</v>
      </c>
      <c r="E175" s="3">
        <f t="shared" si="7"/>
        <v>99.54879320896039</v>
      </c>
      <c r="F175">
        <v>-8.5623899940401305E-4</v>
      </c>
      <c r="G175">
        <f t="shared" si="8"/>
        <v>99.539965635471745</v>
      </c>
    </row>
    <row r="176" spans="1:8">
      <c r="A176" s="1">
        <v>38169</v>
      </c>
      <c r="B176">
        <v>102.186946337592</v>
      </c>
      <c r="C176">
        <f t="shared" si="6"/>
        <v>1.4102978837902569E-2</v>
      </c>
      <c r="D176">
        <v>2.3206560872495101E-3</v>
      </c>
      <c r="E176" s="3">
        <f t="shared" si="7"/>
        <v>100.98974041776326</v>
      </c>
      <c r="F176">
        <v>5.1425555720925296E-3</v>
      </c>
      <c r="G176">
        <f t="shared" si="8"/>
        <v>101.27406349813536</v>
      </c>
    </row>
    <row r="177" spans="1:7">
      <c r="A177" s="1">
        <v>38200</v>
      </c>
      <c r="B177">
        <v>101.672864895022</v>
      </c>
      <c r="C177">
        <f t="shared" si="6"/>
        <v>-5.0434907123353412E-3</v>
      </c>
      <c r="D177">
        <v>7.4353297241032098E-3</v>
      </c>
      <c r="E177" s="3">
        <f t="shared" si="7"/>
        <v>102.94673997711124</v>
      </c>
      <c r="F177">
        <v>3.0299744103103798E-3</v>
      </c>
      <c r="G177">
        <f t="shared" si="8"/>
        <v>102.49657017006267</v>
      </c>
    </row>
    <row r="178" spans="1:7">
      <c r="A178" s="1">
        <v>38231</v>
      </c>
      <c r="B178">
        <v>101.914466666398</v>
      </c>
      <c r="C178">
        <f t="shared" si="6"/>
        <v>2.3734471387779621E-3</v>
      </c>
      <c r="D178">
        <v>1.60477776080369E-3</v>
      </c>
      <c r="E178" s="3">
        <f t="shared" si="7"/>
        <v>101.83602724748273</v>
      </c>
      <c r="F178">
        <v>3.1882345210760801E-3</v>
      </c>
      <c r="G178">
        <f t="shared" si="8"/>
        <v>101.99702183273702</v>
      </c>
    </row>
    <row r="179" spans="1:7">
      <c r="A179" s="1">
        <v>38261</v>
      </c>
      <c r="B179">
        <v>101.249406199219</v>
      </c>
      <c r="C179">
        <f t="shared" si="6"/>
        <v>-6.5470581298825437E-3</v>
      </c>
      <c r="D179">
        <v>-7.91557319462299E-3</v>
      </c>
      <c r="E179" s="3">
        <f t="shared" si="7"/>
        <v>101.10775524590916</v>
      </c>
      <c r="F179">
        <v>-4.5912438072264099E-3</v>
      </c>
      <c r="G179">
        <f t="shared" si="8"/>
        <v>101.44655250244912</v>
      </c>
    </row>
    <row r="180" spans="1:7">
      <c r="A180" s="1">
        <v>38292</v>
      </c>
      <c r="B180">
        <v>101.145789251322</v>
      </c>
      <c r="C180">
        <f t="shared" si="6"/>
        <v>-1.0239072792108672E-3</v>
      </c>
      <c r="D180">
        <v>-3.5228454507887298E-3</v>
      </c>
      <c r="E180" s="3">
        <f t="shared" si="7"/>
        <v>100.89272018919502</v>
      </c>
      <c r="F180">
        <v>-2.4771715980023098E-3</v>
      </c>
      <c r="G180">
        <f t="shared" si="8"/>
        <v>100.99859404586769</v>
      </c>
    </row>
    <row r="181" spans="1:7">
      <c r="A181" s="1">
        <v>38322</v>
      </c>
      <c r="B181">
        <v>101.04001173719899</v>
      </c>
      <c r="C181">
        <f t="shared" si="6"/>
        <v>-1.0463397850548617E-3</v>
      </c>
      <c r="D181">
        <v>3.7593452725559399E-3</v>
      </c>
      <c r="E181" s="3">
        <f t="shared" si="7"/>
        <v>101.5260311959829</v>
      </c>
      <c r="F181">
        <v>-6.10658607911318E-4</v>
      </c>
      <c r="G181">
        <f t="shared" si="8"/>
        <v>101.0840237044617</v>
      </c>
    </row>
    <row r="182" spans="1:7">
      <c r="A182" s="1">
        <v>38353</v>
      </c>
      <c r="B182">
        <v>101.60813082038</v>
      </c>
      <c r="C182">
        <f t="shared" si="6"/>
        <v>5.6069654958630366E-3</v>
      </c>
      <c r="D182">
        <v>-5.0273453816771499E-3</v>
      </c>
      <c r="E182" s="3">
        <f t="shared" si="7"/>
        <v>100.53204870082739</v>
      </c>
      <c r="F182">
        <v>8.9344289153814298E-3</v>
      </c>
      <c r="G182">
        <f t="shared" si="8"/>
        <v>101.9427465396743</v>
      </c>
    </row>
    <row r="183" spans="1:7">
      <c r="A183" s="1">
        <v>38384</v>
      </c>
      <c r="B183">
        <v>101.487767527876</v>
      </c>
      <c r="C183">
        <f t="shared" si="6"/>
        <v>-1.1852854496270382E-3</v>
      </c>
      <c r="D183">
        <v>3.8999770767986701E-3</v>
      </c>
      <c r="E183" s="3">
        <f t="shared" si="7"/>
        <v>102.00440020139584</v>
      </c>
      <c r="F183">
        <v>-7.4145938269793901E-3</v>
      </c>
      <c r="G183">
        <f t="shared" si="8"/>
        <v>100.85474780082829</v>
      </c>
    </row>
    <row r="184" spans="1:7">
      <c r="A184" s="1">
        <v>38412</v>
      </c>
      <c r="B184">
        <v>102.224605702825</v>
      </c>
      <c r="C184">
        <f t="shared" si="6"/>
        <v>7.2341348407585215E-3</v>
      </c>
      <c r="D184">
        <v>7.3213237337768E-3</v>
      </c>
      <c r="E184" s="3">
        <f t="shared" si="7"/>
        <v>102.23079232896586</v>
      </c>
      <c r="F184">
        <v>4.6741203404962999E-3</v>
      </c>
      <c r="G184">
        <f t="shared" si="8"/>
        <v>101.96213356638961</v>
      </c>
    </row>
    <row r="185" spans="1:7">
      <c r="A185" s="1">
        <v>38443</v>
      </c>
      <c r="B185">
        <v>101.264366941871</v>
      </c>
      <c r="C185">
        <f t="shared" si="6"/>
        <v>-9.4378174505234114E-3</v>
      </c>
      <c r="D185">
        <v>1.43232475966215E-3</v>
      </c>
      <c r="E185" s="3">
        <f t="shared" si="7"/>
        <v>102.37102453661986</v>
      </c>
      <c r="F185">
        <v>-2.33537590247578E-4</v>
      </c>
      <c r="G185">
        <f t="shared" si="8"/>
        <v>102.20073241474516</v>
      </c>
    </row>
    <row r="186" spans="1:7">
      <c r="A186" s="1">
        <v>38473</v>
      </c>
      <c r="B186">
        <v>100.22412769352501</v>
      </c>
      <c r="C186">
        <f t="shared" si="6"/>
        <v>-1.0325636633806035E-2</v>
      </c>
      <c r="D186">
        <v>-4.0165171958506099E-3</v>
      </c>
      <c r="E186" s="3">
        <f t="shared" si="7"/>
        <v>100.85763687072205</v>
      </c>
      <c r="F186">
        <v>-3.2392025459557698E-3</v>
      </c>
      <c r="G186">
        <f t="shared" si="8"/>
        <v>100.9363511466583</v>
      </c>
    </row>
    <row r="187" spans="1:7">
      <c r="A187" s="1">
        <v>38504</v>
      </c>
      <c r="B187">
        <v>102.518063536681</v>
      </c>
      <c r="C187">
        <f t="shared" si="6"/>
        <v>2.2630057669223547E-2</v>
      </c>
      <c r="D187">
        <v>-1.7285912763327299E-3</v>
      </c>
      <c r="E187" s="3">
        <f t="shared" si="7"/>
        <v>100.05088114071592</v>
      </c>
      <c r="F187">
        <v>-8.4004382370039799E-4</v>
      </c>
      <c r="G187">
        <f t="shared" si="8"/>
        <v>100.13993503407031</v>
      </c>
    </row>
    <row r="188" spans="1:7">
      <c r="A188" s="1">
        <v>38534</v>
      </c>
      <c r="B188">
        <v>101.196272024669</v>
      </c>
      <c r="C188">
        <f t="shared" si="6"/>
        <v>-1.2977094204061679E-2</v>
      </c>
      <c r="D188">
        <v>1.2595501029863899E-3</v>
      </c>
      <c r="E188" s="3">
        <f t="shared" si="7"/>
        <v>102.6471901741666</v>
      </c>
      <c r="F188">
        <v>-8.0631126184016401E-4</v>
      </c>
      <c r="G188">
        <f t="shared" si="8"/>
        <v>102.43540206750933</v>
      </c>
    </row>
    <row r="189" spans="1:7">
      <c r="A189" s="1">
        <v>38565</v>
      </c>
      <c r="B189">
        <v>100.69544038814099</v>
      </c>
      <c r="C189">
        <f t="shared" si="6"/>
        <v>-4.9613989389953872E-3</v>
      </c>
      <c r="D189">
        <v>-1.2354922946542499E-3</v>
      </c>
      <c r="E189" s="3">
        <f t="shared" si="7"/>
        <v>101.07124481033479</v>
      </c>
      <c r="F189" s="3">
        <v>-9.0880515926983194E-5</v>
      </c>
      <c r="G189">
        <f t="shared" si="8"/>
        <v>101.18707525525751</v>
      </c>
    </row>
    <row r="190" spans="1:7">
      <c r="A190" s="1">
        <v>38596</v>
      </c>
      <c r="B190">
        <v>101.920443833322</v>
      </c>
      <c r="C190">
        <f t="shared" si="6"/>
        <v>1.2092027001973094E-2</v>
      </c>
      <c r="D190">
        <v>-6.6372856963425799E-4</v>
      </c>
      <c r="E190" s="3">
        <f t="shared" si="7"/>
        <v>100.62860594752348</v>
      </c>
      <c r="F190">
        <v>2.5752099463716101E-4</v>
      </c>
      <c r="G190">
        <f t="shared" si="8"/>
        <v>100.72137157810518</v>
      </c>
    </row>
    <row r="191" spans="1:7">
      <c r="A191" s="1">
        <v>38626</v>
      </c>
      <c r="B191">
        <v>101.590582241148</v>
      </c>
      <c r="C191">
        <f t="shared" si="6"/>
        <v>-3.2417101658257508E-3</v>
      </c>
      <c r="D191">
        <v>9.1444747522473301E-3</v>
      </c>
      <c r="E191" s="3">
        <f t="shared" si="7"/>
        <v>102.85245275869366</v>
      </c>
      <c r="F191">
        <v>2.4797408841550298E-3</v>
      </c>
      <c r="G191">
        <f t="shared" si="8"/>
        <v>102.17318012482671</v>
      </c>
    </row>
    <row r="192" spans="1:7">
      <c r="A192" s="1">
        <v>38657</v>
      </c>
      <c r="B192">
        <v>102.85960891462</v>
      </c>
      <c r="C192">
        <f t="shared" si="6"/>
        <v>1.2414201855091456E-2</v>
      </c>
      <c r="D192">
        <v>1.2346650473773399E-3</v>
      </c>
      <c r="E192" s="3">
        <f t="shared" si="7"/>
        <v>101.71601258218385</v>
      </c>
      <c r="F192">
        <v>3.4794865641742901E-3</v>
      </c>
      <c r="G192">
        <f t="shared" si="8"/>
        <v>101.94406530710272</v>
      </c>
    </row>
    <row r="193" spans="1:8">
      <c r="A193" s="1">
        <v>38687</v>
      </c>
      <c r="B193">
        <v>102.032968950834</v>
      </c>
      <c r="C193">
        <f t="shared" si="6"/>
        <v>-8.0690521596862297E-3</v>
      </c>
      <c r="D193">
        <v>-1.6259315889328701E-3</v>
      </c>
      <c r="E193" s="3">
        <f t="shared" si="7"/>
        <v>102.69236622726044</v>
      </c>
      <c r="F193">
        <v>2.79398052953183E-3</v>
      </c>
      <c r="G193">
        <f t="shared" si="8"/>
        <v>103.1469966592027</v>
      </c>
    </row>
    <row r="194" spans="1:8">
      <c r="A194" s="1">
        <v>38718</v>
      </c>
      <c r="B194">
        <v>102.374689262779</v>
      </c>
      <c r="C194">
        <f t="shared" si="6"/>
        <v>3.343520817918666E-3</v>
      </c>
      <c r="D194">
        <v>-9.6845458028837995E-4</v>
      </c>
      <c r="E194" s="3">
        <f t="shared" si="7"/>
        <v>101.93415465471314</v>
      </c>
      <c r="F194" s="3">
        <v>9.7692311101127402E-5</v>
      </c>
      <c r="G194">
        <f t="shared" si="8"/>
        <v>102.04293678737932</v>
      </c>
    </row>
    <row r="195" spans="1:8">
      <c r="A195" s="1">
        <v>38749</v>
      </c>
      <c r="B195">
        <v>100.708323300812</v>
      </c>
      <c r="C195">
        <f t="shared" si="6"/>
        <v>-1.6411056148458947E-2</v>
      </c>
      <c r="D195">
        <v>1.9063148647546701E-3</v>
      </c>
      <c r="E195" s="3">
        <f t="shared" si="7"/>
        <v>102.56984765469528</v>
      </c>
      <c r="F195">
        <v>1.20408658403903E-4</v>
      </c>
      <c r="G195">
        <f t="shared" si="8"/>
        <v>102.38701606176765</v>
      </c>
    </row>
    <row r="196" spans="1:8">
      <c r="A196" s="1">
        <v>38777</v>
      </c>
      <c r="B196">
        <v>103.526109773138</v>
      </c>
      <c r="C196">
        <f t="shared" ref="C196:C259" si="9">LN(B196)-LN(B195)</f>
        <v>2.7595398494656642E-2</v>
      </c>
      <c r="D196">
        <v>-5.2695244085043604E-4</v>
      </c>
      <c r="E196" s="3">
        <f t="shared" si="7"/>
        <v>100.65525480403468</v>
      </c>
      <c r="F196">
        <v>1.9280693959444699E-4</v>
      </c>
      <c r="G196">
        <f t="shared" si="8"/>
        <v>100.72774056441932</v>
      </c>
    </row>
    <row r="197" spans="1:8">
      <c r="A197" s="1">
        <v>38808</v>
      </c>
      <c r="B197">
        <v>102.662282347549</v>
      </c>
      <c r="C197">
        <f t="shared" si="9"/>
        <v>-8.3790602439988149E-3</v>
      </c>
      <c r="D197" s="3">
        <v>4.9174459491041396E-6</v>
      </c>
      <c r="E197" s="3">
        <f t="shared" ref="E197:E260" si="10">B196*D197+B196</f>
        <v>103.52661885718713</v>
      </c>
      <c r="F197">
        <v>-7.1461120387539202E-4</v>
      </c>
      <c r="G197">
        <f t="shared" si="8"/>
        <v>103.45212885520048</v>
      </c>
      <c r="H197" s="3"/>
    </row>
    <row r="198" spans="1:8">
      <c r="A198" s="1">
        <v>38838</v>
      </c>
      <c r="B198">
        <v>101.953729578241</v>
      </c>
      <c r="C198">
        <f t="shared" si="9"/>
        <v>-6.9257102101518697E-3</v>
      </c>
      <c r="D198">
        <v>-2.1513586398214099E-4</v>
      </c>
      <c r="E198" s="3">
        <f t="shared" si="10"/>
        <v>102.64019600873777</v>
      </c>
      <c r="F198">
        <v>-1.98655441636219E-4</v>
      </c>
      <c r="G198">
        <f t="shared" si="8"/>
        <v>102.64188792650987</v>
      </c>
    </row>
    <row r="199" spans="1:8">
      <c r="A199" s="1">
        <v>38869</v>
      </c>
      <c r="B199">
        <v>101.914224900588</v>
      </c>
      <c r="C199">
        <f t="shared" si="9"/>
        <v>-3.8755162132719789E-4</v>
      </c>
      <c r="D199" s="3">
        <v>-4.7098317736526897E-5</v>
      </c>
      <c r="E199" s="3">
        <f t="shared" si="10"/>
        <v>101.9489277290909</v>
      </c>
      <c r="F199">
        <v>6.5594987245276505E-4</v>
      </c>
      <c r="G199">
        <f t="shared" ref="G199:G262" si="11">B198*F199+B198</f>
        <v>102.02060611415392</v>
      </c>
      <c r="H199" s="3"/>
    </row>
    <row r="200" spans="1:8">
      <c r="A200" s="1">
        <v>38899</v>
      </c>
      <c r="B200">
        <v>99.973314230680799</v>
      </c>
      <c r="C200">
        <f t="shared" si="9"/>
        <v>-1.9228234473087191E-2</v>
      </c>
      <c r="D200">
        <v>-7.42147490382194E-3</v>
      </c>
      <c r="E200" s="3">
        <f t="shared" si="10"/>
        <v>101.15787103814581</v>
      </c>
      <c r="F200">
        <v>2.1290788426995201E-2</v>
      </c>
      <c r="G200">
        <f t="shared" si="11"/>
        <v>104.08405910064762</v>
      </c>
    </row>
    <row r="201" spans="1:8">
      <c r="A201" s="1">
        <v>38930</v>
      </c>
      <c r="B201">
        <v>102.16912375287799</v>
      </c>
      <c r="C201">
        <f t="shared" si="9"/>
        <v>2.1726223520387222E-2</v>
      </c>
      <c r="D201">
        <v>-5.7521290145814401E-3</v>
      </c>
      <c r="E201" s="3">
        <f t="shared" si="10"/>
        <v>99.398254829210629</v>
      </c>
      <c r="F201">
        <v>-1.7900712788105001E-2</v>
      </c>
      <c r="G201">
        <f t="shared" si="11"/>
        <v>98.183720646162413</v>
      </c>
    </row>
    <row r="202" spans="1:8">
      <c r="A202" s="1">
        <v>38961</v>
      </c>
      <c r="B202">
        <v>100.531596863703</v>
      </c>
      <c r="C202">
        <f t="shared" si="9"/>
        <v>-1.6157441461816191E-2</v>
      </c>
      <c r="D202">
        <v>5.1363551756367001E-4</v>
      </c>
      <c r="E202" s="3">
        <f t="shared" si="10"/>
        <v>102.22160144363583</v>
      </c>
      <c r="F202">
        <v>-1.6050044447183599E-2</v>
      </c>
      <c r="G202">
        <f t="shared" si="11"/>
        <v>100.5293047755145</v>
      </c>
    </row>
    <row r="203" spans="1:8">
      <c r="A203" s="1">
        <v>38991</v>
      </c>
      <c r="B203">
        <v>100.58449751584099</v>
      </c>
      <c r="C203">
        <f t="shared" si="9"/>
        <v>5.2607081020727975E-4</v>
      </c>
      <c r="D203">
        <v>2.6348757091909599E-3</v>
      </c>
      <c r="E203" s="3">
        <f t="shared" si="10"/>
        <v>100.79648512628535</v>
      </c>
      <c r="F203">
        <v>6.4532279968261705E-2</v>
      </c>
      <c r="G203">
        <f t="shared" si="11"/>
        <v>107.0191300181679</v>
      </c>
    </row>
    <row r="204" spans="1:8">
      <c r="A204" s="1">
        <v>39022</v>
      </c>
      <c r="B204">
        <v>101.060575702981</v>
      </c>
      <c r="C204">
        <f t="shared" si="9"/>
        <v>4.721950942077946E-3</v>
      </c>
      <c r="D204">
        <v>4.4060116633772798E-3</v>
      </c>
      <c r="E204" s="3">
        <f t="shared" si="10"/>
        <v>101.02767398505073</v>
      </c>
      <c r="F204">
        <v>-0.10849279910326</v>
      </c>
      <c r="G204">
        <f t="shared" si="11"/>
        <v>89.671803833952509</v>
      </c>
    </row>
    <row r="205" spans="1:8">
      <c r="A205" s="1">
        <v>39052</v>
      </c>
      <c r="B205">
        <v>103.770613729529</v>
      </c>
      <c r="C205">
        <f t="shared" si="9"/>
        <v>2.6462729432020993E-2</v>
      </c>
      <c r="D205">
        <v>1.9764353055506901E-3</v>
      </c>
      <c r="E205" s="3">
        <f t="shared" si="10"/>
        <v>101.26031539279965</v>
      </c>
      <c r="F205">
        <v>5.2977841347455902E-2</v>
      </c>
      <c r="G205">
        <f t="shared" si="11"/>
        <v>106.41454684905608</v>
      </c>
    </row>
    <row r="206" spans="1:8">
      <c r="A206" s="1">
        <v>39083</v>
      </c>
      <c r="B206">
        <v>101.54265369931299</v>
      </c>
      <c r="C206">
        <f t="shared" si="9"/>
        <v>-2.1703882225680537E-2</v>
      </c>
      <c r="D206">
        <v>1.1388643179088801E-3</v>
      </c>
      <c r="E206" s="3">
        <f t="shared" si="10"/>
        <v>103.88879437875308</v>
      </c>
      <c r="F206">
        <v>2.16443301178514E-3</v>
      </c>
      <c r="G206">
        <f t="shared" si="11"/>
        <v>103.99521827153841</v>
      </c>
    </row>
    <row r="207" spans="1:8">
      <c r="A207" s="1">
        <v>39114</v>
      </c>
      <c r="B207">
        <v>104.38124648112399</v>
      </c>
      <c r="C207">
        <f t="shared" si="9"/>
        <v>2.7571084206780228E-2</v>
      </c>
      <c r="D207">
        <v>3.23984446004033E-3</v>
      </c>
      <c r="E207" s="3">
        <f t="shared" si="10"/>
        <v>101.87163610335851</v>
      </c>
      <c r="F207">
        <v>8.4853516891598701E-3</v>
      </c>
      <c r="G207">
        <f t="shared" si="11"/>
        <v>102.40427882740224</v>
      </c>
    </row>
    <row r="208" spans="1:8">
      <c r="A208" s="1">
        <v>39142</v>
      </c>
      <c r="B208">
        <v>101.796764258097</v>
      </c>
      <c r="C208">
        <f t="shared" si="9"/>
        <v>-2.5071709578686097E-2</v>
      </c>
      <c r="D208">
        <v>3.13997291959822E-3</v>
      </c>
      <c r="E208" s="3">
        <f t="shared" si="10"/>
        <v>104.70900076838863</v>
      </c>
      <c r="F208">
        <v>-3.1311041675508001E-3</v>
      </c>
      <c r="G208">
        <f t="shared" si="11"/>
        <v>104.05441792525281</v>
      </c>
    </row>
    <row r="209" spans="1:8">
      <c r="A209" s="1">
        <v>39173</v>
      </c>
      <c r="B209">
        <v>99.865147167673001</v>
      </c>
      <c r="C209">
        <f t="shared" si="9"/>
        <v>-1.9157570745111485E-2</v>
      </c>
      <c r="D209">
        <v>-2.42701964452862E-3</v>
      </c>
      <c r="E209" s="3">
        <f t="shared" si="10"/>
        <v>101.54970151149315</v>
      </c>
      <c r="F209">
        <v>-1.00310640409588E-2</v>
      </c>
      <c r="G209">
        <f t="shared" si="11"/>
        <v>100.77563439666164</v>
      </c>
    </row>
    <row r="210" spans="1:8">
      <c r="A210" s="1">
        <v>39203</v>
      </c>
      <c r="B210">
        <v>100.217626099363</v>
      </c>
      <c r="C210">
        <f t="shared" si="9"/>
        <v>3.5233347736101095E-3</v>
      </c>
      <c r="D210">
        <v>-6.1283474788069699E-3</v>
      </c>
      <c r="E210" s="3">
        <f t="shared" si="10"/>
        <v>99.25313884480731</v>
      </c>
      <c r="F210">
        <v>-2.8954274021088999E-3</v>
      </c>
      <c r="G210">
        <f t="shared" si="11"/>
        <v>99.575994884048086</v>
      </c>
    </row>
    <row r="211" spans="1:8">
      <c r="A211" s="1">
        <v>39234</v>
      </c>
      <c r="B211">
        <v>101.88163039171999</v>
      </c>
      <c r="C211">
        <f t="shared" si="9"/>
        <v>1.6467570687047406E-2</v>
      </c>
      <c r="D211">
        <v>-1.0327929630875501E-2</v>
      </c>
      <c r="E211" s="3">
        <f t="shared" si="10"/>
        <v>99.182585509235395</v>
      </c>
      <c r="F211">
        <v>-5.9568039141595303E-3</v>
      </c>
      <c r="G211">
        <f t="shared" si="11"/>
        <v>99.62064935194654</v>
      </c>
    </row>
    <row r="212" spans="1:8">
      <c r="A212" s="1">
        <v>39264</v>
      </c>
      <c r="B212">
        <v>98.966644512026704</v>
      </c>
      <c r="C212">
        <f t="shared" si="9"/>
        <v>-2.902878380092222E-2</v>
      </c>
      <c r="D212">
        <v>-1.4013631734996999E-3</v>
      </c>
      <c r="E212" s="3">
        <f t="shared" si="10"/>
        <v>101.73885722683293</v>
      </c>
      <c r="F212">
        <v>-5.6571904569864204E-3</v>
      </c>
      <c r="G212">
        <f t="shared" si="11"/>
        <v>101.30526660452574</v>
      </c>
    </row>
    <row r="213" spans="1:8">
      <c r="A213" s="1">
        <v>39295</v>
      </c>
      <c r="B213">
        <v>99.061104718040895</v>
      </c>
      <c r="C213">
        <f t="shared" si="9"/>
        <v>9.5400986524030174E-4</v>
      </c>
      <c r="D213">
        <v>-6.3758194446563703E-3</v>
      </c>
      <c r="E213" s="3">
        <f t="shared" si="10"/>
        <v>98.33565105557453</v>
      </c>
      <c r="F213">
        <v>-5.4227607324719403E-3</v>
      </c>
      <c r="G213">
        <f t="shared" si="11"/>
        <v>98.429972078342374</v>
      </c>
    </row>
    <row r="214" spans="1:8">
      <c r="A214" s="1">
        <v>39326</v>
      </c>
      <c r="B214">
        <v>100.13258327915</v>
      </c>
      <c r="C214">
        <f t="shared" si="9"/>
        <v>1.0758261532183511E-2</v>
      </c>
      <c r="D214">
        <v>-4.9005886539816796E-3</v>
      </c>
      <c r="E214" s="3">
        <f t="shared" si="10"/>
        <v>98.575646992208775</v>
      </c>
      <c r="F214">
        <v>-1.59782031551003E-3</v>
      </c>
      <c r="G214">
        <f t="shared" si="11"/>
        <v>98.90282287244554</v>
      </c>
    </row>
    <row r="215" spans="1:8">
      <c r="A215" s="1">
        <v>39356</v>
      </c>
      <c r="B215">
        <v>100.804411445246</v>
      </c>
      <c r="C215">
        <f t="shared" si="9"/>
        <v>6.6869783780072467E-3</v>
      </c>
      <c r="D215">
        <v>6.0065872967243097E-2</v>
      </c>
      <c r="E215" s="3">
        <f t="shared" si="10"/>
        <v>106.14713430627731</v>
      </c>
      <c r="F215">
        <v>-3.5252381116151803E-2</v>
      </c>
      <c r="G215">
        <f t="shared" si="11"/>
        <v>96.602671291248598</v>
      </c>
    </row>
    <row r="216" spans="1:8">
      <c r="A216" s="1">
        <v>39387</v>
      </c>
      <c r="B216">
        <v>102.920825543988</v>
      </c>
      <c r="C216">
        <f t="shared" si="9"/>
        <v>2.0777889584227438E-2</v>
      </c>
      <c r="D216">
        <v>-7.2035746416076996E-4</v>
      </c>
      <c r="E216" s="3">
        <f t="shared" si="10"/>
        <v>100.73179623504109</v>
      </c>
      <c r="F216">
        <v>5.8864459395408603E-2</v>
      </c>
      <c r="G216">
        <f t="shared" si="11"/>
        <v>106.73820862964274</v>
      </c>
    </row>
    <row r="217" spans="1:8">
      <c r="A217" s="1">
        <v>39417</v>
      </c>
      <c r="B217">
        <v>103.745301235895</v>
      </c>
      <c r="C217">
        <f t="shared" si="9"/>
        <v>7.9788601910157908E-3</v>
      </c>
      <c r="D217">
        <v>-2.8597611933946599E-2</v>
      </c>
      <c r="E217" s="3">
        <f t="shared" si="10"/>
        <v>99.977535715159618</v>
      </c>
      <c r="F217">
        <v>7.1358256973326198E-3</v>
      </c>
      <c r="G217">
        <f t="shared" si="11"/>
        <v>103.65525061569548</v>
      </c>
    </row>
    <row r="218" spans="1:8">
      <c r="A218" s="1">
        <v>39448</v>
      </c>
      <c r="B218">
        <v>101.065020645085</v>
      </c>
      <c r="C218">
        <f t="shared" si="9"/>
        <v>-2.617479031837977E-2</v>
      </c>
      <c r="D218">
        <v>-2.0647132769227002E-3</v>
      </c>
      <c r="E218" s="3">
        <f t="shared" si="10"/>
        <v>103.5310969350149</v>
      </c>
      <c r="F218">
        <v>-1.7832867801189398E-2</v>
      </c>
      <c r="G218">
        <f t="shared" si="11"/>
        <v>101.89522499396071</v>
      </c>
    </row>
    <row r="219" spans="1:8">
      <c r="A219" s="1">
        <v>39479</v>
      </c>
      <c r="B219">
        <v>100.326160938144</v>
      </c>
      <c r="C219">
        <f t="shared" si="9"/>
        <v>-7.3375906150534576E-3</v>
      </c>
      <c r="D219">
        <v>-5.1477043889462896E-3</v>
      </c>
      <c r="E219" s="3">
        <f t="shared" si="10"/>
        <v>100.54476779474135</v>
      </c>
      <c r="F219">
        <v>-2.6332441717386201E-2</v>
      </c>
      <c r="G219">
        <f t="shared" si="11"/>
        <v>98.403731879281864</v>
      </c>
    </row>
    <row r="220" spans="1:8">
      <c r="A220" s="1">
        <v>39508</v>
      </c>
      <c r="B220">
        <v>101.47273743966799</v>
      </c>
      <c r="C220">
        <f t="shared" si="9"/>
        <v>1.1363677890577684E-2</v>
      </c>
      <c r="D220">
        <v>-7.8832609578967094E-3</v>
      </c>
      <c r="E220" s="3">
        <f t="shared" si="10"/>
        <v>99.535263630564671</v>
      </c>
      <c r="F220">
        <v>2.90696285665035E-2</v>
      </c>
      <c r="G220">
        <f t="shared" si="11"/>
        <v>103.2426051721191</v>
      </c>
    </row>
    <row r="221" spans="1:8">
      <c r="A221" s="1">
        <v>39539</v>
      </c>
      <c r="B221">
        <v>101.555705977223</v>
      </c>
      <c r="C221">
        <f t="shared" si="9"/>
        <v>8.1730954320757832E-4</v>
      </c>
      <c r="D221">
        <v>-2.5176050257869E-4</v>
      </c>
      <c r="E221" s="3">
        <f t="shared" si="10"/>
        <v>101.44719061229215</v>
      </c>
      <c r="F221">
        <v>1.8002455180976499E-4</v>
      </c>
      <c r="G221">
        <f t="shared" si="11"/>
        <v>101.49100502374648</v>
      </c>
    </row>
    <row r="222" spans="1:8">
      <c r="A222" s="1">
        <v>39569</v>
      </c>
      <c r="B222">
        <v>101.080636586517</v>
      </c>
      <c r="C222">
        <f t="shared" si="9"/>
        <v>-4.6888949444214845E-3</v>
      </c>
      <c r="D222" s="3">
        <v>-3.1867955840425498E-5</v>
      </c>
      <c r="E222" s="3">
        <f t="shared" si="10"/>
        <v>101.55246960446958</v>
      </c>
      <c r="F222">
        <v>8.7022804655134602E-4</v>
      </c>
      <c r="G222">
        <f t="shared" si="11"/>
        <v>101.6440826008517</v>
      </c>
      <c r="H222" s="3"/>
    </row>
    <row r="223" spans="1:8">
      <c r="A223" s="1">
        <v>39600</v>
      </c>
      <c r="B223">
        <v>101.063809304491</v>
      </c>
      <c r="C223">
        <f t="shared" si="9"/>
        <v>-1.6648770131322266E-4</v>
      </c>
      <c r="D223">
        <v>3.0409079045057201E-3</v>
      </c>
      <c r="E223" s="3">
        <f t="shared" si="10"/>
        <v>101.38801349330541</v>
      </c>
      <c r="F223">
        <v>1.7070272006094399E-3</v>
      </c>
      <c r="G223">
        <f t="shared" si="11"/>
        <v>101.2531839826251</v>
      </c>
    </row>
    <row r="224" spans="1:8">
      <c r="A224" s="1">
        <v>39630</v>
      </c>
      <c r="B224">
        <v>102.240761483127</v>
      </c>
      <c r="C224">
        <f t="shared" si="9"/>
        <v>1.1578345950389313E-2</v>
      </c>
      <c r="D224">
        <v>-2.5975620374083502E-2</v>
      </c>
      <c r="E224" s="3">
        <f t="shared" si="10"/>
        <v>98.438614160438775</v>
      </c>
      <c r="F224">
        <v>1.51453248690813E-3</v>
      </c>
      <c r="G224">
        <f t="shared" si="11"/>
        <v>101.21687372693334</v>
      </c>
    </row>
    <row r="225" spans="1:8">
      <c r="A225" s="1">
        <v>39661</v>
      </c>
      <c r="B225">
        <v>102.28464796176399</v>
      </c>
      <c r="C225">
        <f t="shared" si="9"/>
        <v>4.2915429852552478E-4</v>
      </c>
      <c r="D225">
        <v>-3.0387731385417201E-4</v>
      </c>
      <c r="E225" s="3">
        <f t="shared" si="10"/>
        <v>102.20969283516111</v>
      </c>
      <c r="F225">
        <v>3.7324491422623301E-3</v>
      </c>
      <c r="G225">
        <f t="shared" si="11"/>
        <v>102.62236992562894</v>
      </c>
    </row>
    <row r="226" spans="1:8">
      <c r="A226" s="1">
        <v>39692</v>
      </c>
      <c r="B226">
        <v>102.72514114360099</v>
      </c>
      <c r="C226">
        <f t="shared" si="9"/>
        <v>4.297295867014661E-3</v>
      </c>
      <c r="D226">
        <v>3.7902165204286499E-2</v>
      </c>
      <c r="E226" s="3">
        <f t="shared" si="10"/>
        <v>106.16145758667307</v>
      </c>
      <c r="F226">
        <v>6.3756862655282003E-3</v>
      </c>
      <c r="G226">
        <f t="shared" si="11"/>
        <v>102.9367827869482</v>
      </c>
    </row>
    <row r="227" spans="1:8">
      <c r="A227" s="1">
        <v>39722</v>
      </c>
      <c r="B227">
        <v>101.278696527915</v>
      </c>
      <c r="C227">
        <f t="shared" si="9"/>
        <v>-1.4180800435179997E-2</v>
      </c>
      <c r="D227">
        <v>-6.1951414681971004E-3</v>
      </c>
      <c r="E227" s="3">
        <f t="shared" si="10"/>
        <v>102.08874436187587</v>
      </c>
      <c r="F227">
        <v>-2.1081700106151399E-4</v>
      </c>
      <c r="G227">
        <f t="shared" si="11"/>
        <v>102.70348493741147</v>
      </c>
    </row>
    <row r="228" spans="1:8">
      <c r="A228" s="1">
        <v>39753</v>
      </c>
      <c r="B228">
        <v>102.59700820937501</v>
      </c>
      <c r="C228">
        <f t="shared" si="9"/>
        <v>1.2932684230829494E-2</v>
      </c>
      <c r="D228">
        <v>-6.9701732136309104E-3</v>
      </c>
      <c r="E228" s="3">
        <f t="shared" si="10"/>
        <v>100.57276647026468</v>
      </c>
      <c r="F228">
        <v>-5.0768163055181503E-3</v>
      </c>
      <c r="G228">
        <f t="shared" si="11"/>
        <v>100.76452318998047</v>
      </c>
    </row>
    <row r="229" spans="1:8">
      <c r="A229" s="1">
        <v>39783</v>
      </c>
      <c r="B229">
        <v>101.582144991566</v>
      </c>
      <c r="C229">
        <f t="shared" si="9"/>
        <v>-9.9409911302208442E-3</v>
      </c>
      <c r="D229">
        <v>7.3135718703269898E-3</v>
      </c>
      <c r="E229" s="3">
        <f t="shared" si="10"/>
        <v>103.3473588025948</v>
      </c>
      <c r="F229">
        <v>-5.6410935940220898E-4</v>
      </c>
      <c r="G229">
        <f t="shared" si="11"/>
        <v>102.53913227679743</v>
      </c>
    </row>
    <row r="230" spans="1:8">
      <c r="A230" s="1">
        <v>39814</v>
      </c>
      <c r="B230">
        <v>102.66060375187</v>
      </c>
      <c r="C230">
        <f t="shared" si="9"/>
        <v>1.0560656768170418E-2</v>
      </c>
      <c r="D230">
        <v>-1.2914849503431399E-4</v>
      </c>
      <c r="E230" s="3">
        <f t="shared" si="10"/>
        <v>101.56902581041798</v>
      </c>
      <c r="F230">
        <v>-2.9141438426449797E-4</v>
      </c>
      <c r="G230">
        <f t="shared" si="11"/>
        <v>101.55254249333102</v>
      </c>
    </row>
    <row r="231" spans="1:8">
      <c r="A231" s="1">
        <v>39845</v>
      </c>
      <c r="B231">
        <v>102.95205619111</v>
      </c>
      <c r="C231">
        <f t="shared" si="9"/>
        <v>2.8349677935404216E-3</v>
      </c>
      <c r="D231" s="3">
        <v>-9.7720410849433297E-5</v>
      </c>
      <c r="E231" s="3">
        <f t="shared" si="10"/>
        <v>102.65057171549331</v>
      </c>
      <c r="F231">
        <v>-1.3440390466712399E-4</v>
      </c>
      <c r="G231">
        <f t="shared" si="11"/>
        <v>102.64680576587027</v>
      </c>
      <c r="H231" s="3"/>
    </row>
    <row r="232" spans="1:8">
      <c r="A232" s="1">
        <v>39873</v>
      </c>
      <c r="B232">
        <v>99.751669888988502</v>
      </c>
      <c r="C232">
        <f t="shared" si="9"/>
        <v>-3.1579609618737514E-2</v>
      </c>
      <c r="D232" s="3">
        <v>-7.9340999945998097E-5</v>
      </c>
      <c r="E232" s="3">
        <f t="shared" si="10"/>
        <v>102.9438878720253</v>
      </c>
      <c r="F232">
        <v>1.1960839037783401E-4</v>
      </c>
      <c r="G232">
        <f t="shared" si="11"/>
        <v>102.96437012083712</v>
      </c>
      <c r="H232" s="3"/>
    </row>
    <row r="233" spans="1:8">
      <c r="A233" s="1">
        <v>39904</v>
      </c>
      <c r="B233">
        <v>100.66073942640099</v>
      </c>
      <c r="C233">
        <f t="shared" si="9"/>
        <v>9.0720507314960841E-3</v>
      </c>
      <c r="D233">
        <v>1.0427458211779501E-2</v>
      </c>
      <c r="E233" s="3">
        <f t="shared" si="10"/>
        <v>100.79182625831115</v>
      </c>
      <c r="F233">
        <v>-5.6978245265781801E-3</v>
      </c>
      <c r="G233">
        <f t="shared" si="11"/>
        <v>99.183302377727898</v>
      </c>
    </row>
    <row r="234" spans="1:8">
      <c r="A234" s="1">
        <v>39934</v>
      </c>
      <c r="B234">
        <v>100.376660903172</v>
      </c>
      <c r="C234">
        <f t="shared" si="9"/>
        <v>-2.826127992514138E-3</v>
      </c>
      <c r="D234">
        <v>-6.5376468002796104E-2</v>
      </c>
      <c r="E234" s="3">
        <f t="shared" si="10"/>
        <v>94.079895816153098</v>
      </c>
      <c r="F234">
        <v>-2.6324406266212401E-2</v>
      </c>
      <c r="G234">
        <f t="shared" si="11"/>
        <v>98.010905226683064</v>
      </c>
    </row>
    <row r="235" spans="1:8">
      <c r="A235" s="1">
        <v>39965</v>
      </c>
      <c r="B235">
        <v>101.15138844646199</v>
      </c>
      <c r="C235">
        <f t="shared" si="9"/>
        <v>7.6885710175966793E-3</v>
      </c>
      <c r="D235">
        <v>4.4495373964309602E-2</v>
      </c>
      <c r="E235" s="3">
        <f t="shared" si="10"/>
        <v>104.84295796734733</v>
      </c>
      <c r="F235">
        <v>2.1568596363067599E-2</v>
      </c>
      <c r="G235">
        <f t="shared" si="11"/>
        <v>102.54164458646503</v>
      </c>
    </row>
    <row r="236" spans="1:8">
      <c r="A236" s="1">
        <v>39995</v>
      </c>
      <c r="B236">
        <v>101.940319354366</v>
      </c>
      <c r="C236">
        <f t="shared" si="9"/>
        <v>7.7692475467845412E-3</v>
      </c>
      <c r="D236">
        <v>-1.0268893092870699E-3</v>
      </c>
      <c r="E236" s="3">
        <f t="shared" si="10"/>
        <v>101.04751716704678</v>
      </c>
      <c r="F236">
        <v>-3.8020596839487501E-3</v>
      </c>
      <c r="G236">
        <f t="shared" si="11"/>
        <v>100.76680483047426</v>
      </c>
    </row>
    <row r="237" spans="1:8">
      <c r="A237" s="1">
        <v>40026</v>
      </c>
      <c r="B237">
        <v>100.70418555502199</v>
      </c>
      <c r="C237">
        <f t="shared" si="9"/>
        <v>-1.220017421618369E-2</v>
      </c>
      <c r="D237">
        <v>7.5349351391196197E-4</v>
      </c>
      <c r="E237" s="3">
        <f t="shared" si="10"/>
        <v>102.01713072380562</v>
      </c>
      <c r="F237">
        <v>2.16167815960943E-3</v>
      </c>
      <c r="G237">
        <f t="shared" si="11"/>
        <v>102.16068151629794</v>
      </c>
    </row>
    <row r="238" spans="1:8">
      <c r="A238" s="1">
        <v>40057</v>
      </c>
      <c r="B238">
        <v>101.125549117186</v>
      </c>
      <c r="C238">
        <f t="shared" si="9"/>
        <v>4.1754419885675631E-3</v>
      </c>
      <c r="D238">
        <v>5.4924595169722999E-3</v>
      </c>
      <c r="E238" s="3">
        <f t="shared" si="10"/>
        <v>101.25729921737262</v>
      </c>
      <c r="F238">
        <v>6.8594450131058598E-3</v>
      </c>
      <c r="G238">
        <f t="shared" si="11"/>
        <v>101.39496037842628</v>
      </c>
    </row>
    <row r="239" spans="1:8">
      <c r="A239" s="1">
        <v>40087</v>
      </c>
      <c r="B239">
        <v>101.14323126015999</v>
      </c>
      <c r="C239">
        <f t="shared" si="9"/>
        <v>1.7483808411800084E-4</v>
      </c>
      <c r="D239">
        <v>1.3930096756666799E-3</v>
      </c>
      <c r="E239" s="3">
        <f t="shared" si="10"/>
        <v>101.26641798556334</v>
      </c>
      <c r="F239">
        <v>4.5362836681306303E-4</v>
      </c>
      <c r="G239">
        <f t="shared" si="11"/>
        <v>101.17142253487511</v>
      </c>
    </row>
    <row r="240" spans="1:8">
      <c r="A240" s="1">
        <v>40118</v>
      </c>
      <c r="B240">
        <v>101.972113260646</v>
      </c>
      <c r="C240">
        <f t="shared" si="9"/>
        <v>8.1617329669567695E-3</v>
      </c>
      <c r="D240">
        <v>1.3627510052174299E-3</v>
      </c>
      <c r="E240" s="3">
        <f t="shared" si="10"/>
        <v>101.28106430023071</v>
      </c>
      <c r="F240">
        <v>8.0106029054149899E-4</v>
      </c>
      <c r="G240">
        <f t="shared" si="11"/>
        <v>101.22425308637956</v>
      </c>
    </row>
    <row r="241" spans="1:7">
      <c r="A241" s="1">
        <v>40148</v>
      </c>
      <c r="B241">
        <v>101.304778124629</v>
      </c>
      <c r="C241">
        <f t="shared" si="9"/>
        <v>-6.5657982946589755E-3</v>
      </c>
      <c r="D241">
        <v>-6.1804498545825395E-4</v>
      </c>
      <c r="E241" s="3">
        <f t="shared" si="10"/>
        <v>101.90908990738868</v>
      </c>
      <c r="F241">
        <v>8.8302703807130402E-4</v>
      </c>
      <c r="G241">
        <f t="shared" si="11"/>
        <v>102.06215739378442</v>
      </c>
    </row>
    <row r="242" spans="1:7">
      <c r="A242" s="1">
        <v>40179</v>
      </c>
      <c r="B242">
        <v>100.781989843402</v>
      </c>
      <c r="C242">
        <f t="shared" si="9"/>
        <v>-5.1739107187307454E-3</v>
      </c>
      <c r="D242">
        <v>-5.3711928194388704E-4</v>
      </c>
      <c r="E242" s="3">
        <f t="shared" si="10"/>
        <v>101.2503653749452</v>
      </c>
      <c r="F242">
        <v>-1.97515953914262E-4</v>
      </c>
      <c r="G242">
        <f t="shared" si="11"/>
        <v>101.28476881474164</v>
      </c>
    </row>
    <row r="243" spans="1:7">
      <c r="A243" s="1">
        <v>40210</v>
      </c>
      <c r="B243">
        <v>102.09385275879001</v>
      </c>
      <c r="C243">
        <f t="shared" si="9"/>
        <v>1.2932847829830507E-2</v>
      </c>
      <c r="D243">
        <v>-1.06901244726032E-3</v>
      </c>
      <c r="E243" s="3">
        <f t="shared" si="10"/>
        <v>100.67425264179974</v>
      </c>
      <c r="F243">
        <v>-3.42590268701314E-4</v>
      </c>
      <c r="G243">
        <f t="shared" si="11"/>
        <v>100.74746291442129</v>
      </c>
    </row>
    <row r="244" spans="1:7">
      <c r="A244" s="1">
        <v>40238</v>
      </c>
      <c r="B244">
        <v>101.363267653177</v>
      </c>
      <c r="C244">
        <f t="shared" si="9"/>
        <v>-7.1817417279067541E-3</v>
      </c>
      <c r="D244">
        <v>1.01134122814983E-3</v>
      </c>
      <c r="E244" s="3">
        <f t="shared" si="10"/>
        <v>102.19710448122562</v>
      </c>
      <c r="F244" s="3">
        <v>-5.4684394854120897E-5</v>
      </c>
      <c r="G244">
        <f t="shared" si="11"/>
        <v>102.08826981823357</v>
      </c>
    </row>
    <row r="245" spans="1:7">
      <c r="A245" s="1">
        <v>40269</v>
      </c>
      <c r="B245">
        <v>101.98612523340201</v>
      </c>
      <c r="C245">
        <f t="shared" si="9"/>
        <v>6.1260033212899856E-3</v>
      </c>
      <c r="D245">
        <v>6.0686167329549699E-2</v>
      </c>
      <c r="E245" s="3">
        <f t="shared" si="10"/>
        <v>107.51461587504764</v>
      </c>
      <c r="F245">
        <v>-1.5154696302488401E-3</v>
      </c>
      <c r="G245">
        <f t="shared" si="11"/>
        <v>101.20965469942583</v>
      </c>
    </row>
    <row r="246" spans="1:7">
      <c r="A246" s="1">
        <v>40299</v>
      </c>
      <c r="B246">
        <v>104.17505770967701</v>
      </c>
      <c r="C246">
        <f t="shared" si="9"/>
        <v>2.1235954368712839E-2</v>
      </c>
      <c r="D246">
        <v>-1.8166409805416998E-2</v>
      </c>
      <c r="E246" s="3">
        <f t="shared" si="10"/>
        <v>100.13340348794544</v>
      </c>
      <c r="F246">
        <v>1.0987998917698799E-2</v>
      </c>
      <c r="G246">
        <f t="shared" si="11"/>
        <v>103.10674866708692</v>
      </c>
    </row>
    <row r="247" spans="1:7">
      <c r="A247" s="1">
        <v>40330</v>
      </c>
      <c r="B247">
        <v>103.769395421772</v>
      </c>
      <c r="C247">
        <f t="shared" si="9"/>
        <v>-3.9016458136487131E-3</v>
      </c>
      <c r="D247">
        <v>-2.3985365405678701E-2</v>
      </c>
      <c r="E247" s="3">
        <f t="shared" si="10"/>
        <v>101.67638088435274</v>
      </c>
      <c r="F247">
        <v>9.0618627145886404E-3</v>
      </c>
      <c r="G247">
        <f t="shared" si="11"/>
        <v>105.11907778092645</v>
      </c>
    </row>
    <row r="248" spans="1:7">
      <c r="A248" s="1">
        <v>40360</v>
      </c>
      <c r="B248">
        <v>101.82760549135899</v>
      </c>
      <c r="C248">
        <f t="shared" si="9"/>
        <v>-1.8889844322388605E-2</v>
      </c>
      <c r="D248">
        <v>-7.0386304287239898E-4</v>
      </c>
      <c r="E248" s="3">
        <f t="shared" si="10"/>
        <v>103.6963559793534</v>
      </c>
      <c r="F248">
        <v>-3.0268095433712001E-3</v>
      </c>
      <c r="G248">
        <f t="shared" si="11"/>
        <v>103.45530522539953</v>
      </c>
    </row>
    <row r="249" spans="1:7">
      <c r="A249" s="1">
        <v>40391</v>
      </c>
      <c r="B249">
        <v>103.466514019157</v>
      </c>
      <c r="C249">
        <f t="shared" si="9"/>
        <v>1.5966783168644305E-2</v>
      </c>
      <c r="D249">
        <v>-3.9662560448050499E-3</v>
      </c>
      <c r="E249" s="3">
        <f t="shared" si="10"/>
        <v>101.42373113555087</v>
      </c>
      <c r="F249">
        <v>-3.2364411745220401E-3</v>
      </c>
      <c r="G249">
        <f t="shared" si="11"/>
        <v>101.49804643624377</v>
      </c>
    </row>
    <row r="250" spans="1:7">
      <c r="A250" s="1">
        <v>40422</v>
      </c>
      <c r="B250">
        <v>102.452228503575</v>
      </c>
      <c r="C250">
        <f t="shared" si="9"/>
        <v>-9.8513977521399454E-3</v>
      </c>
      <c r="D250">
        <v>-2.4023137520998699E-3</v>
      </c>
      <c r="E250" s="3">
        <f t="shared" si="10"/>
        <v>103.21795498964696</v>
      </c>
      <c r="F250">
        <v>-8.0918247113004305E-4</v>
      </c>
      <c r="G250">
        <f t="shared" si="11"/>
        <v>103.38279072966377</v>
      </c>
    </row>
    <row r="251" spans="1:7">
      <c r="A251" s="1">
        <v>40452</v>
      </c>
      <c r="B251">
        <v>100.36592146752599</v>
      </c>
      <c r="C251">
        <f t="shared" si="9"/>
        <v>-2.0573904532658283E-2</v>
      </c>
      <c r="D251">
        <v>-7.3519330471753996E-3</v>
      </c>
      <c r="E251" s="3">
        <f t="shared" si="10"/>
        <v>101.69900657908281</v>
      </c>
      <c r="F251">
        <v>-2.2006928920745802E-3</v>
      </c>
      <c r="G251">
        <f t="shared" si="11"/>
        <v>102.22676261252998</v>
      </c>
    </row>
    <row r="252" spans="1:7">
      <c r="A252" s="1">
        <v>40483</v>
      </c>
      <c r="B252">
        <v>102.175999529995</v>
      </c>
      <c r="C252">
        <f t="shared" si="9"/>
        <v>1.7874089907661705E-2</v>
      </c>
      <c r="D252">
        <v>5.3920382633805197E-3</v>
      </c>
      <c r="E252" s="3">
        <f t="shared" si="10"/>
        <v>100.90709835641833</v>
      </c>
      <c r="F252">
        <v>-2.8262152336537799E-3</v>
      </c>
      <c r="G252">
        <f t="shared" si="11"/>
        <v>100.08226577133478</v>
      </c>
    </row>
    <row r="253" spans="1:7">
      <c r="A253" s="1">
        <v>40513</v>
      </c>
      <c r="B253">
        <v>103.315588943541</v>
      </c>
      <c r="C253">
        <f t="shared" si="9"/>
        <v>1.1091462231899385E-2</v>
      </c>
      <c r="D253">
        <v>-4.1966643184423403E-3</v>
      </c>
      <c r="E253" s="3">
        <f t="shared" si="10"/>
        <v>101.74720115856628</v>
      </c>
      <c r="F253">
        <v>-1.1296506272628899E-3</v>
      </c>
      <c r="G253">
        <f t="shared" si="11"/>
        <v>102.06057634803473</v>
      </c>
    </row>
    <row r="254" spans="1:7">
      <c r="A254" s="1">
        <v>40544</v>
      </c>
      <c r="B254">
        <v>100.751371352674</v>
      </c>
      <c r="C254">
        <f t="shared" si="9"/>
        <v>-2.5132461989224808E-2</v>
      </c>
      <c r="D254">
        <v>-1.6111901495605701E-3</v>
      </c>
      <c r="E254" s="3">
        <f t="shared" si="10"/>
        <v>103.14912788433912</v>
      </c>
      <c r="F254">
        <v>-9.1980723664164508E-3</v>
      </c>
      <c r="G254">
        <f t="shared" si="11"/>
        <v>102.36528467985937</v>
      </c>
    </row>
    <row r="255" spans="1:7">
      <c r="A255" s="1">
        <v>40575</v>
      </c>
      <c r="B255">
        <v>101.385382457459</v>
      </c>
      <c r="C255">
        <f t="shared" si="9"/>
        <v>6.2731113660703386E-3</v>
      </c>
      <c r="D255">
        <v>-5.0849942490458402E-3</v>
      </c>
      <c r="E255" s="3">
        <f t="shared" si="10"/>
        <v>100.23905120876216</v>
      </c>
      <c r="F255">
        <v>9.4359833747148496E-3</v>
      </c>
      <c r="G255">
        <f t="shared" si="11"/>
        <v>101.70205961773755</v>
      </c>
    </row>
    <row r="256" spans="1:7">
      <c r="A256" s="1">
        <v>40603</v>
      </c>
      <c r="B256">
        <v>102.481918270539</v>
      </c>
      <c r="C256">
        <f t="shared" si="9"/>
        <v>1.0757452359043462E-2</v>
      </c>
      <c r="D256">
        <v>2.6375835295766501E-3</v>
      </c>
      <c r="E256" s="3">
        <f t="shared" si="10"/>
        <v>101.65279487236863</v>
      </c>
      <c r="F256">
        <v>-4.2965118773281496E-3</v>
      </c>
      <c r="G256">
        <f t="shared" si="11"/>
        <v>100.94977895754307</v>
      </c>
    </row>
    <row r="257" spans="1:8">
      <c r="A257" s="1">
        <v>40634</v>
      </c>
      <c r="B257">
        <v>102.26390248158</v>
      </c>
      <c r="C257">
        <f t="shared" si="9"/>
        <v>-2.1296246297524135E-3</v>
      </c>
      <c r="D257">
        <v>-5.8644272387027699E-2</v>
      </c>
      <c r="E257" s="3">
        <f t="shared" si="10"/>
        <v>96.4719407407364</v>
      </c>
      <c r="F257">
        <v>5.9916498139500596E-4</v>
      </c>
      <c r="G257">
        <f t="shared" si="11"/>
        <v>102.54332184719289</v>
      </c>
    </row>
    <row r="258" spans="1:8">
      <c r="A258" s="1">
        <v>40664</v>
      </c>
      <c r="B258">
        <v>102.901606672539</v>
      </c>
      <c r="C258">
        <f t="shared" si="9"/>
        <v>6.2165053693172823E-3</v>
      </c>
      <c r="D258">
        <v>3.7677992135286303E-2</v>
      </c>
      <c r="E258" s="3">
        <f t="shared" si="10"/>
        <v>106.11700099500466</v>
      </c>
      <c r="F258">
        <v>-7.7763684093952101E-3</v>
      </c>
      <c r="G258">
        <f t="shared" si="11"/>
        <v>101.46866070090077</v>
      </c>
    </row>
    <row r="259" spans="1:8">
      <c r="A259" s="1">
        <v>40695</v>
      </c>
      <c r="B259">
        <v>102.724843853412</v>
      </c>
      <c r="C259">
        <f t="shared" si="9"/>
        <v>-1.7192619161141565E-3</v>
      </c>
      <c r="D259">
        <v>3.1649269163608502E-2</v>
      </c>
      <c r="E259" s="3">
        <f t="shared" si="10"/>
        <v>106.15836731948596</v>
      </c>
      <c r="F259">
        <v>1.7860187217593099E-2</v>
      </c>
      <c r="G259">
        <f t="shared" si="11"/>
        <v>104.73944863270168</v>
      </c>
    </row>
    <row r="260" spans="1:8">
      <c r="A260" s="1">
        <v>40725</v>
      </c>
      <c r="B260">
        <v>103.114253727643</v>
      </c>
      <c r="C260">
        <f t="shared" ref="C260:C323" si="12">LN(B260)-LN(B259)</f>
        <v>3.7836382239371247E-3</v>
      </c>
      <c r="D260">
        <v>1.0883744107559299E-3</v>
      </c>
      <c r="E260" s="3">
        <f t="shared" si="10"/>
        <v>102.83664694481095</v>
      </c>
      <c r="F260">
        <v>2.9343139613047199E-4</v>
      </c>
      <c r="G260">
        <f t="shared" si="11"/>
        <v>102.75498654776119</v>
      </c>
    </row>
    <row r="261" spans="1:8">
      <c r="A261" s="1">
        <v>40756</v>
      </c>
      <c r="B261">
        <v>101.018075559813</v>
      </c>
      <c r="C261">
        <f t="shared" si="12"/>
        <v>-2.0538166180084083E-2</v>
      </c>
      <c r="D261">
        <v>5.8418884873390198E-4</v>
      </c>
      <c r="E261" s="3">
        <f t="shared" ref="E261:E324" si="13">B260*D261+B260</f>
        <v>103.17449192481621</v>
      </c>
      <c r="F261">
        <v>-1.4682277105748599E-3</v>
      </c>
      <c r="G261">
        <f t="shared" si="11"/>
        <v>102.96285852296484</v>
      </c>
    </row>
    <row r="262" spans="1:8">
      <c r="A262" s="1">
        <v>40787</v>
      </c>
      <c r="B262">
        <v>103.238048473497</v>
      </c>
      <c r="C262">
        <f t="shared" si="12"/>
        <v>2.1738005090383261E-2</v>
      </c>
      <c r="D262">
        <v>-3.3628235105425102E-3</v>
      </c>
      <c r="E262" s="3">
        <f t="shared" si="13"/>
        <v>100.6783696003307</v>
      </c>
      <c r="F262">
        <v>-5.1546387840062304E-4</v>
      </c>
      <c r="G262">
        <f t="shared" si="11"/>
        <v>100.96600439079637</v>
      </c>
    </row>
    <row r="263" spans="1:8">
      <c r="A263" s="1">
        <v>40817</v>
      </c>
      <c r="B263">
        <v>103.31882249054701</v>
      </c>
      <c r="C263">
        <f t="shared" si="12"/>
        <v>7.8209958148889314E-4</v>
      </c>
      <c r="D263" s="3">
        <v>-3.70640955225098E-5</v>
      </c>
      <c r="E263" s="3">
        <f t="shared" si="13"/>
        <v>103.23422204860682</v>
      </c>
      <c r="F263" s="3">
        <v>6.9177818659227301E-5</v>
      </c>
      <c r="G263">
        <f t="shared" ref="G263:G326" si="14">B262*F263+B262</f>
        <v>103.24519025649303</v>
      </c>
      <c r="H263" s="3"/>
    </row>
    <row r="264" spans="1:8">
      <c r="A264" s="1">
        <v>40848</v>
      </c>
      <c r="B264">
        <v>101.86371805629101</v>
      </c>
      <c r="C264">
        <f t="shared" si="12"/>
        <v>-1.4183749016545733E-2</v>
      </c>
      <c r="D264">
        <v>-1.2595520820468599E-3</v>
      </c>
      <c r="E264" s="3">
        <f t="shared" si="13"/>
        <v>103.1886870525644</v>
      </c>
      <c r="F264">
        <v>-1.41189456917345E-3</v>
      </c>
      <c r="G264">
        <f t="shared" si="14"/>
        <v>103.1729472061792</v>
      </c>
    </row>
    <row r="265" spans="1:8">
      <c r="A265" s="1">
        <v>40878</v>
      </c>
      <c r="B265">
        <v>101.703156870852</v>
      </c>
      <c r="C265">
        <f t="shared" si="12"/>
        <v>-1.577478838755475E-3</v>
      </c>
      <c r="D265">
        <v>-2.8148939600214303E-4</v>
      </c>
      <c r="E265" s="3">
        <f t="shared" si="13"/>
        <v>101.83504449982081</v>
      </c>
      <c r="F265">
        <v>-2.3538873938377901E-4</v>
      </c>
      <c r="G265">
        <f t="shared" si="14"/>
        <v>101.83974048410879</v>
      </c>
    </row>
    <row r="266" spans="1:8">
      <c r="A266" s="1">
        <v>40909</v>
      </c>
      <c r="B266">
        <v>99.705849178099299</v>
      </c>
      <c r="C266">
        <f t="shared" si="12"/>
        <v>-1.9834000552827469E-2</v>
      </c>
      <c r="D266">
        <v>2.4263127706944899E-3</v>
      </c>
      <c r="E266" s="3">
        <f t="shared" si="13"/>
        <v>101.94992053918769</v>
      </c>
      <c r="F266">
        <v>1.0035015875473599E-3</v>
      </c>
      <c r="G266">
        <f t="shared" si="14"/>
        <v>101.80521615023048</v>
      </c>
    </row>
    <row r="267" spans="1:8">
      <c r="A267" s="1">
        <v>40940</v>
      </c>
      <c r="B267">
        <v>102.664397014644</v>
      </c>
      <c r="C267">
        <f t="shared" si="12"/>
        <v>2.9241044029628682E-2</v>
      </c>
      <c r="D267">
        <v>-3.5186221357434901E-3</v>
      </c>
      <c r="E267" s="3">
        <f t="shared" si="13"/>
        <v>99.355021970118131</v>
      </c>
      <c r="F267">
        <v>-9.2368451878428407E-3</v>
      </c>
      <c r="G267">
        <f t="shared" si="14"/>
        <v>98.784881684918787</v>
      </c>
    </row>
    <row r="268" spans="1:8">
      <c r="A268" s="1">
        <v>40969</v>
      </c>
      <c r="B268">
        <v>101.907280933991</v>
      </c>
      <c r="C268">
        <f t="shared" si="12"/>
        <v>-7.4019976282206912E-3</v>
      </c>
      <c r="D268">
        <v>-7.4428445659577803E-3</v>
      </c>
      <c r="E268" s="3">
        <f t="shared" si="13"/>
        <v>101.90028186520622</v>
      </c>
      <c r="F268">
        <v>-3.0181001056917001E-4</v>
      </c>
      <c r="G268">
        <f t="shared" si="14"/>
        <v>102.63341187189593</v>
      </c>
    </row>
    <row r="269" spans="1:8">
      <c r="A269" s="1">
        <v>41000</v>
      </c>
      <c r="B269">
        <v>102.24769602706699</v>
      </c>
      <c r="C269">
        <f t="shared" si="12"/>
        <v>3.3348724937640739E-3</v>
      </c>
      <c r="D269">
        <v>9.8451683297753299E-3</v>
      </c>
      <c r="E269" s="3">
        <f t="shared" si="13"/>
        <v>102.91057526881585</v>
      </c>
      <c r="F269">
        <v>-8.5472248494624994E-2</v>
      </c>
      <c r="G269">
        <f t="shared" si="14"/>
        <v>93.197036494589369</v>
      </c>
    </row>
    <row r="270" spans="1:8">
      <c r="A270" s="1">
        <v>41030</v>
      </c>
      <c r="B270">
        <v>103.011605708871</v>
      </c>
      <c r="C270">
        <f t="shared" si="12"/>
        <v>7.4433967408147339E-3</v>
      </c>
      <c r="D270">
        <v>9.5108506502583601E-4</v>
      </c>
      <c r="E270" s="3">
        <f t="shared" si="13"/>
        <v>102.34494228369164</v>
      </c>
      <c r="F270">
        <v>6.4814612269401495E-2</v>
      </c>
      <c r="G270">
        <f t="shared" si="14"/>
        <v>108.87484080050096</v>
      </c>
    </row>
    <row r="271" spans="1:8">
      <c r="A271" s="1">
        <v>41061</v>
      </c>
      <c r="B271">
        <v>101.136850151781</v>
      </c>
      <c r="C271">
        <f t="shared" si="12"/>
        <v>-1.8367106947263956E-2</v>
      </c>
      <c r="D271">
        <v>-3.8575786165893E-3</v>
      </c>
      <c r="E271" s="3">
        <f t="shared" si="13"/>
        <v>102.61423034142793</v>
      </c>
      <c r="F271">
        <v>2.75963116437196E-2</v>
      </c>
      <c r="G271">
        <f t="shared" si="14"/>
        <v>105.85434608293298</v>
      </c>
    </row>
    <row r="272" spans="1:8">
      <c r="A272" s="1">
        <v>41091</v>
      </c>
      <c r="B272">
        <v>102.572521124115</v>
      </c>
      <c r="C272">
        <f t="shared" si="12"/>
        <v>1.4095519844070203E-2</v>
      </c>
      <c r="D272">
        <v>-3.6106100305914801E-3</v>
      </c>
      <c r="E272" s="3">
        <f t="shared" si="13"/>
        <v>100.77168442616056</v>
      </c>
      <c r="F272">
        <v>-1.3633263297379E-3</v>
      </c>
      <c r="G272">
        <f t="shared" si="14"/>
        <v>100.99896762106232</v>
      </c>
    </row>
    <row r="273" spans="1:8">
      <c r="A273" s="1">
        <v>41122</v>
      </c>
      <c r="B273">
        <v>100.807697795319</v>
      </c>
      <c r="C273">
        <f t="shared" si="12"/>
        <v>-1.7355351825535159E-2</v>
      </c>
      <c r="D273">
        <v>-9.9278462585061702E-4</v>
      </c>
      <c r="E273" s="3">
        <f t="shared" si="13"/>
        <v>102.47068870210823</v>
      </c>
      <c r="F273">
        <v>7.3116569546982603E-4</v>
      </c>
      <c r="G273">
        <f t="shared" si="14"/>
        <v>102.64751863285881</v>
      </c>
    </row>
    <row r="274" spans="1:8">
      <c r="A274" s="1">
        <v>41153</v>
      </c>
      <c r="B274">
        <v>102.217429228942</v>
      </c>
      <c r="C274">
        <f t="shared" si="12"/>
        <v>1.3887483891339869E-2</v>
      </c>
      <c r="D274">
        <v>1.99387758038938E-3</v>
      </c>
      <c r="E274" s="3">
        <f t="shared" si="13"/>
        <v>101.00869600388376</v>
      </c>
      <c r="F274">
        <v>-1.9773566164076298E-3</v>
      </c>
      <c r="G274">
        <f t="shared" si="14"/>
        <v>100.6083650270986</v>
      </c>
    </row>
    <row r="275" spans="1:8">
      <c r="A275" s="1">
        <v>41183</v>
      </c>
      <c r="B275">
        <v>101.91437378323</v>
      </c>
      <c r="C275">
        <f t="shared" si="12"/>
        <v>-2.9692156135485703E-3</v>
      </c>
      <c r="D275">
        <v>-1.21034790936391E-4</v>
      </c>
      <c r="E275" s="3">
        <f t="shared" si="13"/>
        <v>102.20505736376522</v>
      </c>
      <c r="F275">
        <v>7.4080051854252804E-4</v>
      </c>
      <c r="G275">
        <f t="shared" si="14"/>
        <v>102.29315195351887</v>
      </c>
    </row>
    <row r="276" spans="1:8">
      <c r="A276" s="1">
        <v>41214</v>
      </c>
      <c r="B276">
        <v>101.952134590075</v>
      </c>
      <c r="C276">
        <f t="shared" si="12"/>
        <v>3.7044640218830693E-4</v>
      </c>
      <c r="D276">
        <v>-2.0444593974389101E-4</v>
      </c>
      <c r="E276" s="3">
        <f t="shared" si="13"/>
        <v>101.89353780330848</v>
      </c>
      <c r="F276">
        <v>6.8489380646497E-4</v>
      </c>
      <c r="G276">
        <f t="shared" si="14"/>
        <v>101.9841743066239</v>
      </c>
    </row>
    <row r="277" spans="1:8">
      <c r="A277" s="1">
        <v>41244</v>
      </c>
      <c r="B277">
        <v>101.517672365127</v>
      </c>
      <c r="C277">
        <f t="shared" si="12"/>
        <v>-4.2705391206832033E-3</v>
      </c>
      <c r="D277">
        <v>-3.73287737602368E-4</v>
      </c>
      <c r="E277" s="3">
        <f t="shared" si="13"/>
        <v>101.91407710841014</v>
      </c>
      <c r="F277">
        <v>-2.12446274235844E-3</v>
      </c>
      <c r="G277">
        <f t="shared" si="14"/>
        <v>101.73554107863448</v>
      </c>
    </row>
    <row r="278" spans="1:8">
      <c r="A278" s="1">
        <v>41275</v>
      </c>
      <c r="B278">
        <v>101.02889282915299</v>
      </c>
      <c r="C278">
        <f t="shared" si="12"/>
        <v>-4.8263517507090015E-3</v>
      </c>
      <c r="D278" s="3">
        <v>-7.9357522508871604E-7</v>
      </c>
      <c r="E278" s="3">
        <f t="shared" si="13"/>
        <v>101.5175918032173</v>
      </c>
      <c r="F278">
        <v>4.0116887539625098E-3</v>
      </c>
      <c r="G278">
        <f t="shared" si="14"/>
        <v>101.92492966968263</v>
      </c>
      <c r="H278" s="3"/>
    </row>
    <row r="279" spans="1:8">
      <c r="A279" s="1">
        <v>41306</v>
      </c>
      <c r="B279">
        <v>102.252371691104</v>
      </c>
      <c r="C279">
        <f t="shared" si="12"/>
        <v>1.2037446129835594E-2</v>
      </c>
      <c r="D279">
        <v>-1.2245511170476599E-3</v>
      </c>
      <c r="E279" s="3">
        <f t="shared" si="13"/>
        <v>100.90517778558497</v>
      </c>
      <c r="F279">
        <v>-3.4228740260004902E-3</v>
      </c>
      <c r="G279">
        <f t="shared" si="14"/>
        <v>100.6830836560125</v>
      </c>
    </row>
    <row r="280" spans="1:8">
      <c r="A280" s="1">
        <v>41334</v>
      </c>
      <c r="B280">
        <v>101.067886306999</v>
      </c>
      <c r="C280">
        <f t="shared" si="12"/>
        <v>-1.1651556968251597E-2</v>
      </c>
      <c r="D280">
        <v>-2.1696835756301802E-3</v>
      </c>
      <c r="E280" s="3">
        <f t="shared" si="13"/>
        <v>102.03051639967659</v>
      </c>
      <c r="F280">
        <v>-3.9838431403040799E-3</v>
      </c>
      <c r="G280">
        <f t="shared" si="14"/>
        <v>101.84501428156257</v>
      </c>
    </row>
    <row r="281" spans="1:8">
      <c r="A281" s="1">
        <v>41365</v>
      </c>
      <c r="B281">
        <v>99.8802722931338</v>
      </c>
      <c r="C281">
        <f t="shared" si="12"/>
        <v>-1.1820241098043915E-2</v>
      </c>
      <c r="D281">
        <v>1.03945769369602E-2</v>
      </c>
      <c r="E281" s="3">
        <f t="shared" si="13"/>
        <v>102.11844422707304</v>
      </c>
      <c r="F281">
        <v>2.58125038817524E-3</v>
      </c>
      <c r="G281">
        <f t="shared" si="14"/>
        <v>101.328767827761</v>
      </c>
    </row>
    <row r="282" spans="1:8">
      <c r="A282" s="1">
        <v>41395</v>
      </c>
      <c r="B282">
        <v>103.295431028384</v>
      </c>
      <c r="C282">
        <f t="shared" si="12"/>
        <v>3.3620953414644994E-2</v>
      </c>
      <c r="D282">
        <v>7.2254305705428097E-3</v>
      </c>
      <c r="E282" s="3">
        <f t="shared" si="13"/>
        <v>100.60195026595476</v>
      </c>
      <c r="F282">
        <v>1.0013316059485E-3</v>
      </c>
      <c r="G282">
        <f t="shared" si="14"/>
        <v>99.980285566591661</v>
      </c>
    </row>
    <row r="283" spans="1:8">
      <c r="A283" s="1">
        <v>41426</v>
      </c>
      <c r="B283">
        <v>102.62949070065901</v>
      </c>
      <c r="C283">
        <f t="shared" si="12"/>
        <v>-6.4678198601537673E-3</v>
      </c>
      <c r="D283">
        <v>-1.2847294099628899E-2</v>
      </c>
      <c r="E283" s="3">
        <f t="shared" si="13"/>
        <v>101.96836424681442</v>
      </c>
      <c r="F283">
        <v>1.19013141375035E-3</v>
      </c>
      <c r="G283">
        <f t="shared" si="14"/>
        <v>103.41836616574777</v>
      </c>
    </row>
    <row r="284" spans="1:8">
      <c r="A284" s="1">
        <v>41456</v>
      </c>
      <c r="B284">
        <v>100.38156832899899</v>
      </c>
      <c r="C284">
        <f t="shared" si="12"/>
        <v>-2.2146717141295902E-2</v>
      </c>
      <c r="D284">
        <v>4.9777084495872205E-4</v>
      </c>
      <c r="E284" s="3">
        <f t="shared" si="13"/>
        <v>102.68057666896276</v>
      </c>
      <c r="F284">
        <v>-1.2684981338679699E-3</v>
      </c>
      <c r="G284">
        <f t="shared" si="14"/>
        <v>102.4993053832254</v>
      </c>
    </row>
    <row r="285" spans="1:8">
      <c r="A285" s="1">
        <v>41487</v>
      </c>
      <c r="B285">
        <v>102.395152806694</v>
      </c>
      <c r="C285">
        <f t="shared" si="12"/>
        <v>1.9860767589068296E-2</v>
      </c>
      <c r="D285">
        <v>-8.1401467323303205E-3</v>
      </c>
      <c r="E285" s="3">
        <f t="shared" si="13"/>
        <v>99.564447633579505</v>
      </c>
      <c r="F285">
        <v>-2.9554059728979999E-3</v>
      </c>
      <c r="G285">
        <f t="shared" si="14"/>
        <v>100.0849000423906</v>
      </c>
    </row>
    <row r="286" spans="1:8">
      <c r="A286" s="1">
        <v>41518</v>
      </c>
      <c r="B286">
        <v>101.31122895348599</v>
      </c>
      <c r="C286">
        <f t="shared" si="12"/>
        <v>-1.0642121997200604E-2</v>
      </c>
      <c r="D286">
        <v>2.0110660698264798E-3</v>
      </c>
      <c r="E286" s="3">
        <f t="shared" si="13"/>
        <v>102.60107622421825</v>
      </c>
      <c r="F286">
        <v>-1.40740501228719E-3</v>
      </c>
      <c r="G286">
        <f t="shared" si="14"/>
        <v>102.25104135539995</v>
      </c>
    </row>
    <row r="287" spans="1:8">
      <c r="A287" s="1">
        <v>41548</v>
      </c>
      <c r="B287">
        <v>101.592209929365</v>
      </c>
      <c r="C287">
        <f t="shared" si="12"/>
        <v>2.7696046655130147E-3</v>
      </c>
      <c r="D287">
        <v>-5.1780272042378696E-4</v>
      </c>
      <c r="E287" s="3">
        <f t="shared" si="13"/>
        <v>101.2587697235244</v>
      </c>
      <c r="F287">
        <v>-2.6045239064842397E-4</v>
      </c>
      <c r="G287">
        <f t="shared" si="14"/>
        <v>101.28484220170553</v>
      </c>
    </row>
    <row r="288" spans="1:8">
      <c r="A288" s="1">
        <v>41579</v>
      </c>
      <c r="B288">
        <v>101.706449622623</v>
      </c>
      <c r="C288">
        <f t="shared" si="12"/>
        <v>1.1238608806776185E-3</v>
      </c>
      <c r="D288">
        <v>-3.5802694037556599E-4</v>
      </c>
      <c r="E288" s="3">
        <f t="shared" si="13"/>
        <v>101.55583718127799</v>
      </c>
      <c r="F288">
        <v>-7.8386650420725302E-4</v>
      </c>
      <c r="G288">
        <f t="shared" si="14"/>
        <v>101.51257519891298</v>
      </c>
    </row>
    <row r="289" spans="1:8">
      <c r="A289" s="1">
        <v>41609</v>
      </c>
      <c r="B289">
        <v>100.495357782272</v>
      </c>
      <c r="C289">
        <f t="shared" si="12"/>
        <v>-1.1979183950781902E-2</v>
      </c>
      <c r="D289" s="3">
        <v>-9.1242305643390796E-5</v>
      </c>
      <c r="E289" s="3">
        <f t="shared" si="13"/>
        <v>101.69716969166062</v>
      </c>
      <c r="F289" s="3">
        <v>7.7247037552297102E-5</v>
      </c>
      <c r="G289">
        <f t="shared" si="14"/>
        <v>101.7143061445563</v>
      </c>
      <c r="H289" s="3"/>
    </row>
    <row r="290" spans="1:8">
      <c r="A290" s="1">
        <v>41640</v>
      </c>
      <c r="B290">
        <v>100.375039664761</v>
      </c>
      <c r="C290">
        <f t="shared" si="12"/>
        <v>-1.1979677785225462E-3</v>
      </c>
      <c r="D290">
        <v>-3.0208358075469702E-3</v>
      </c>
      <c r="E290" s="3">
        <f t="shared" si="13"/>
        <v>100.19177780699107</v>
      </c>
      <c r="F290">
        <v>-2.5922609493136402E-3</v>
      </c>
      <c r="G290">
        <f t="shared" si="14"/>
        <v>100.23484759070571</v>
      </c>
    </row>
    <row r="291" spans="1:8">
      <c r="A291" s="1">
        <v>41671</v>
      </c>
      <c r="B291">
        <v>100.40124360266</v>
      </c>
      <c r="C291">
        <f t="shared" si="12"/>
        <v>2.6102622900747718E-4</v>
      </c>
      <c r="D291">
        <v>-9.8961843177676201E-3</v>
      </c>
      <c r="E291" s="3">
        <f t="shared" si="13"/>
        <v>99.381709771335295</v>
      </c>
      <c r="F291">
        <v>-1.35636795312166E-3</v>
      </c>
      <c r="G291">
        <f t="shared" si="14"/>
        <v>100.23889417766641</v>
      </c>
    </row>
    <row r="292" spans="1:8">
      <c r="A292" s="1">
        <v>41699</v>
      </c>
      <c r="B292">
        <v>100.511768712242</v>
      </c>
      <c r="C292">
        <f t="shared" si="12"/>
        <v>1.1002285960257652E-3</v>
      </c>
      <c r="D292">
        <v>4.6339142136275699E-3</v>
      </c>
      <c r="E292" s="3">
        <f t="shared" si="13"/>
        <v>100.86649435245626</v>
      </c>
      <c r="F292">
        <v>-4.3344777077436404E-3</v>
      </c>
      <c r="G292">
        <f t="shared" si="14"/>
        <v>99.966056650434538</v>
      </c>
    </row>
    <row r="293" spans="1:8">
      <c r="A293" s="1">
        <v>41730</v>
      </c>
      <c r="B293">
        <v>101.733068478706</v>
      </c>
      <c r="C293">
        <f t="shared" si="12"/>
        <v>1.2077585060862539E-2</v>
      </c>
      <c r="D293">
        <v>-2.5003170594572999E-3</v>
      </c>
      <c r="E293" s="3">
        <f t="shared" si="13"/>
        <v>100.26045742225456</v>
      </c>
      <c r="F293">
        <v>4.9257017672061903E-3</v>
      </c>
      <c r="G293">
        <f t="shared" si="14"/>
        <v>101.00685970901291</v>
      </c>
    </row>
    <row r="294" spans="1:8">
      <c r="A294" s="1">
        <v>41760</v>
      </c>
      <c r="B294">
        <v>102.725435545423</v>
      </c>
      <c r="C294">
        <f t="shared" si="12"/>
        <v>9.7073473585078673E-3</v>
      </c>
      <c r="D294">
        <v>1.5320834703743401E-2</v>
      </c>
      <c r="E294" s="3">
        <f t="shared" si="13"/>
        <v>103.29170400477287</v>
      </c>
      <c r="F294">
        <v>9.49719082564115E-3</v>
      </c>
      <c r="G294">
        <f t="shared" si="14"/>
        <v>102.69924684332629</v>
      </c>
    </row>
    <row r="295" spans="1:8">
      <c r="A295" s="1">
        <v>41791</v>
      </c>
      <c r="B295">
        <v>101.91050992663899</v>
      </c>
      <c r="C295">
        <f t="shared" si="12"/>
        <v>-7.9646801531065847E-3</v>
      </c>
      <c r="D295">
        <v>3.90299595892429E-3</v>
      </c>
      <c r="E295" s="3">
        <f t="shared" si="13"/>
        <v>103.12637250523552</v>
      </c>
      <c r="F295">
        <v>2.3006205447018099E-3</v>
      </c>
      <c r="G295">
        <f t="shared" si="14"/>
        <v>102.96176779290224</v>
      </c>
    </row>
    <row r="296" spans="1:8">
      <c r="A296" s="1">
        <v>41821</v>
      </c>
      <c r="B296">
        <v>103.0699422209</v>
      </c>
      <c r="C296">
        <f t="shared" si="12"/>
        <v>1.1312733943502629E-2</v>
      </c>
      <c r="D296">
        <v>4.8207379877567196E-3</v>
      </c>
      <c r="E296" s="3">
        <f t="shared" si="13"/>
        <v>102.401793793194</v>
      </c>
      <c r="F296">
        <v>-9.3542076647281595E-3</v>
      </c>
      <c r="G296">
        <f t="shared" si="14"/>
        <v>100.95721785356687</v>
      </c>
    </row>
    <row r="297" spans="1:8">
      <c r="A297" s="1">
        <v>41852</v>
      </c>
      <c r="B297">
        <v>104.067408883014</v>
      </c>
      <c r="C297">
        <f t="shared" si="12"/>
        <v>9.6310430441759465E-3</v>
      </c>
      <c r="D297">
        <v>-1.2632932339329199E-4</v>
      </c>
      <c r="E297" s="3">
        <f t="shared" si="13"/>
        <v>103.05692146483705</v>
      </c>
      <c r="F297">
        <v>1.2201391160488099E-2</v>
      </c>
      <c r="G297">
        <f t="shared" si="14"/>
        <v>104.32753890282611</v>
      </c>
    </row>
    <row r="298" spans="1:8">
      <c r="A298" s="1">
        <v>41883</v>
      </c>
      <c r="B298">
        <v>101.733879932116</v>
      </c>
      <c r="C298">
        <f t="shared" si="12"/>
        <v>-2.2678467925520529E-2</v>
      </c>
      <c r="D298">
        <v>3.43974959105253E-3</v>
      </c>
      <c r="E298" s="3">
        <f t="shared" si="13"/>
        <v>104.42537471016124</v>
      </c>
      <c r="F298">
        <v>5.2869752980768603E-3</v>
      </c>
      <c r="G298">
        <f t="shared" si="14"/>
        <v>104.61761070311336</v>
      </c>
    </row>
    <row r="299" spans="1:8">
      <c r="A299" s="1">
        <v>41913</v>
      </c>
      <c r="B299">
        <v>102.500853319372</v>
      </c>
      <c r="C299">
        <f t="shared" si="12"/>
        <v>7.5107400248120015E-3</v>
      </c>
      <c r="D299">
        <v>-8.6236828938126495E-3</v>
      </c>
      <c r="E299" s="3">
        <f t="shared" si="13"/>
        <v>100.85655921202422</v>
      </c>
      <c r="F299">
        <v>3.4384039463475298E-4</v>
      </c>
      <c r="G299">
        <f t="shared" si="14"/>
        <v>101.76886014953958</v>
      </c>
    </row>
    <row r="300" spans="1:8">
      <c r="A300" s="1">
        <v>41944</v>
      </c>
      <c r="B300">
        <v>103.10805214039</v>
      </c>
      <c r="C300">
        <f t="shared" si="12"/>
        <v>5.9063646571537731E-3</v>
      </c>
      <c r="D300">
        <v>1.1012760223820799E-3</v>
      </c>
      <c r="E300" s="3">
        <f t="shared" si="13"/>
        <v>102.61373505140632</v>
      </c>
      <c r="F300">
        <v>-8.1132544437423305E-4</v>
      </c>
      <c r="G300">
        <f t="shared" si="14"/>
        <v>102.41769176900392</v>
      </c>
    </row>
    <row r="301" spans="1:8">
      <c r="A301" s="1">
        <v>41974</v>
      </c>
      <c r="B301">
        <v>102.424750874008</v>
      </c>
      <c r="C301">
        <f t="shared" si="12"/>
        <v>-6.6490971152282086E-3</v>
      </c>
      <c r="D301">
        <v>4.8069958575069904E-3</v>
      </c>
      <c r="E301" s="3">
        <f t="shared" si="13"/>
        <v>103.60369211990447</v>
      </c>
      <c r="F301">
        <v>-2.24792631343007E-3</v>
      </c>
      <c r="G301">
        <f t="shared" si="14"/>
        <v>102.8762728368571</v>
      </c>
    </row>
    <row r="302" spans="1:8">
      <c r="A302" s="1">
        <v>42005</v>
      </c>
      <c r="B302">
        <v>101.663938825099</v>
      </c>
      <c r="C302">
        <f t="shared" si="12"/>
        <v>-7.4557348019759218E-3</v>
      </c>
      <c r="D302">
        <v>-5.5315098725259304E-3</v>
      </c>
      <c r="E302" s="3">
        <f t="shared" si="13"/>
        <v>101.85818735335741</v>
      </c>
      <c r="F302">
        <v>2.4437705054879098E-2</v>
      </c>
      <c r="G302">
        <f t="shared" si="14"/>
        <v>104.92777672618648</v>
      </c>
    </row>
    <row r="303" spans="1:8">
      <c r="A303" s="1">
        <v>42036</v>
      </c>
      <c r="B303">
        <v>102.553908808855</v>
      </c>
      <c r="C303">
        <f t="shared" si="12"/>
        <v>8.7159435684887043E-3</v>
      </c>
      <c r="D303">
        <v>-2.0533581264317001E-3</v>
      </c>
      <c r="E303" s="3">
        <f t="shared" si="13"/>
        <v>101.45518635014743</v>
      </c>
      <c r="F303">
        <v>-3.8762662559747599E-2</v>
      </c>
      <c r="G303">
        <f t="shared" si="14"/>
        <v>97.723173869926853</v>
      </c>
    </row>
    <row r="304" spans="1:8">
      <c r="A304" s="1">
        <v>42064</v>
      </c>
      <c r="B304">
        <v>102.215372150517</v>
      </c>
      <c r="C304">
        <f t="shared" si="12"/>
        <v>-3.3065210288301117E-3</v>
      </c>
      <c r="D304">
        <v>2.3756686132401202E-3</v>
      </c>
      <c r="E304" s="3">
        <f t="shared" si="13"/>
        <v>102.79754291117729</v>
      </c>
      <c r="F304">
        <v>9.11575742065906E-3</v>
      </c>
      <c r="G304">
        <f t="shared" si="14"/>
        <v>103.48876536409691</v>
      </c>
    </row>
    <row r="305" spans="1:8">
      <c r="A305" s="1">
        <v>42095</v>
      </c>
      <c r="B305">
        <v>100.43791953568901</v>
      </c>
      <c r="C305">
        <f t="shared" si="12"/>
        <v>-1.7542258319299009E-2</v>
      </c>
      <c r="D305">
        <v>-1.92507810425013E-3</v>
      </c>
      <c r="E305" s="3">
        <f t="shared" si="13"/>
        <v>102.01859957567225</v>
      </c>
      <c r="F305">
        <v>-5.8776559308171196E-4</v>
      </c>
      <c r="G305">
        <f t="shared" si="14"/>
        <v>102.15529347168288</v>
      </c>
    </row>
    <row r="306" spans="1:8">
      <c r="A306" s="1">
        <v>42125</v>
      </c>
      <c r="B306">
        <v>102.444919253747</v>
      </c>
      <c r="C306">
        <f t="shared" si="12"/>
        <v>1.9785460436435365E-2</v>
      </c>
      <c r="D306">
        <v>-1.7546104500070199E-3</v>
      </c>
      <c r="E306" s="3">
        <f t="shared" si="13"/>
        <v>100.26169011249472</v>
      </c>
      <c r="F306">
        <v>-2.4137059226632101E-3</v>
      </c>
      <c r="G306">
        <f t="shared" si="14"/>
        <v>100.19549193444574</v>
      </c>
    </row>
    <row r="307" spans="1:8">
      <c r="A307" s="1">
        <v>42156</v>
      </c>
      <c r="B307">
        <v>102.39074598934501</v>
      </c>
      <c r="C307">
        <f t="shared" si="12"/>
        <v>-5.289436837161432E-4</v>
      </c>
      <c r="D307">
        <v>-1.1178939894307399E-4</v>
      </c>
      <c r="E307" s="3">
        <f t="shared" si="13"/>
        <v>102.43346699779886</v>
      </c>
      <c r="F307">
        <v>-7.90006248280406E-4</v>
      </c>
      <c r="G307">
        <f t="shared" si="14"/>
        <v>102.36398712743195</v>
      </c>
    </row>
    <row r="308" spans="1:8">
      <c r="A308" s="1">
        <v>42186</v>
      </c>
      <c r="B308">
        <v>100.810365825115</v>
      </c>
      <c r="C308">
        <f t="shared" si="12"/>
        <v>-1.5555151407211198E-2</v>
      </c>
      <c r="D308">
        <v>1.4621297304984101E-4</v>
      </c>
      <c r="E308" s="3">
        <f t="shared" si="13"/>
        <v>102.4057168447289</v>
      </c>
      <c r="F308">
        <v>6.6957494709640698E-4</v>
      </c>
      <c r="G308">
        <f t="shared" si="14"/>
        <v>102.45930426767399</v>
      </c>
    </row>
    <row r="309" spans="1:8">
      <c r="A309" s="1">
        <v>42217</v>
      </c>
      <c r="B309">
        <v>101.44561022863201</v>
      </c>
      <c r="C309">
        <f t="shared" si="12"/>
        <v>6.2816091245556649E-3</v>
      </c>
      <c r="D309" s="3">
        <v>4.52353815489914E-5</v>
      </c>
      <c r="E309" s="3">
        <f t="shared" si="13"/>
        <v>100.81492602047719</v>
      </c>
      <c r="F309">
        <v>-2.0743757486343301E-3</v>
      </c>
      <c r="G309">
        <f t="shared" si="14"/>
        <v>100.60124724703643</v>
      </c>
      <c r="H309" s="3"/>
    </row>
    <row r="310" spans="1:8">
      <c r="A310" s="1">
        <v>42248</v>
      </c>
      <c r="B310">
        <v>102.805829919153</v>
      </c>
      <c r="C310">
        <f t="shared" si="12"/>
        <v>1.3319267647622368E-2</v>
      </c>
      <c r="D310">
        <v>-8.8542356388643297E-4</v>
      </c>
      <c r="E310" s="3">
        <f t="shared" si="13"/>
        <v>101.35578789488274</v>
      </c>
      <c r="F310">
        <v>7.1082561044022398E-4</v>
      </c>
      <c r="G310">
        <f t="shared" si="14"/>
        <v>101.51772036644925</v>
      </c>
    </row>
    <row r="311" spans="1:8">
      <c r="A311" s="1">
        <v>42278</v>
      </c>
      <c r="B311">
        <v>101.353890277368</v>
      </c>
      <c r="C311">
        <f t="shared" si="12"/>
        <v>-1.4223805945683843E-2</v>
      </c>
      <c r="D311">
        <v>-3.0928082764148698E-2</v>
      </c>
      <c r="E311" s="3">
        <f t="shared" si="13"/>
        <v>99.626242702776437</v>
      </c>
      <c r="F311">
        <v>-1.2445891276001901E-2</v>
      </c>
      <c r="G311">
        <f t="shared" si="14"/>
        <v>101.52631973744008</v>
      </c>
    </row>
    <row r="312" spans="1:8">
      <c r="A312" s="1">
        <v>42309</v>
      </c>
      <c r="B312">
        <v>102.929298401734</v>
      </c>
      <c r="C312">
        <f t="shared" si="12"/>
        <v>1.5424072506007747E-2</v>
      </c>
      <c r="D312">
        <v>0.172173261642456</v>
      </c>
      <c r="E312" s="3">
        <f t="shared" si="13"/>
        <v>118.80432014657406</v>
      </c>
      <c r="F312">
        <v>6.1475438997149398E-3</v>
      </c>
      <c r="G312">
        <f t="shared" si="14"/>
        <v>101.976967767255</v>
      </c>
    </row>
    <row r="313" spans="1:8">
      <c r="A313" s="1">
        <v>42339</v>
      </c>
      <c r="B313">
        <v>104.648065244299</v>
      </c>
      <c r="C313">
        <f t="shared" si="12"/>
        <v>1.6560631600925468E-2</v>
      </c>
      <c r="D313">
        <v>-0.12864080071449199</v>
      </c>
      <c r="E313" s="3">
        <f t="shared" si="13"/>
        <v>89.688391038354055</v>
      </c>
      <c r="F313">
        <v>1.89027208834886E-2</v>
      </c>
      <c r="G313">
        <f t="shared" si="14"/>
        <v>104.87494220015529</v>
      </c>
    </row>
    <row r="314" spans="1:8">
      <c r="A314" s="1">
        <v>42370</v>
      </c>
      <c r="B314">
        <v>100.524112791112</v>
      </c>
      <c r="C314">
        <f t="shared" si="12"/>
        <v>-4.0205333859381298E-2</v>
      </c>
      <c r="D314">
        <v>2.4669479578733399E-2</v>
      </c>
      <c r="E314" s="3">
        <f t="shared" si="13"/>
        <v>107.2296785527972</v>
      </c>
      <c r="F314">
        <v>8.8714755838736805E-4</v>
      </c>
      <c r="G314">
        <f t="shared" si="14"/>
        <v>104.74090351987044</v>
      </c>
    </row>
    <row r="315" spans="1:8">
      <c r="A315" s="1">
        <v>42401</v>
      </c>
      <c r="B315">
        <v>100.459557081526</v>
      </c>
      <c r="C315">
        <f t="shared" si="12"/>
        <v>-6.4239758231998678E-4</v>
      </c>
      <c r="D315">
        <v>2.8434079140424701E-2</v>
      </c>
      <c r="E315" s="3">
        <f t="shared" si="13"/>
        <v>103.38242336973546</v>
      </c>
      <c r="F315">
        <v>-8.1458957865834201E-3</v>
      </c>
      <c r="G315">
        <f t="shared" si="14"/>
        <v>99.705253844276854</v>
      </c>
    </row>
    <row r="316" spans="1:8">
      <c r="A316" s="1">
        <v>42430</v>
      </c>
      <c r="B316">
        <v>101.53450886450401</v>
      </c>
      <c r="C316">
        <f t="shared" si="12"/>
        <v>1.0643500103192594E-2</v>
      </c>
      <c r="D316">
        <v>-7.4080958962440394E-2</v>
      </c>
      <c r="E316" s="3">
        <f t="shared" si="13"/>
        <v>93.017416755984527</v>
      </c>
      <c r="F316">
        <v>-1.37186544016003E-2</v>
      </c>
      <c r="G316">
        <f t="shared" si="14"/>
        <v>99.081387136586713</v>
      </c>
    </row>
    <row r="317" spans="1:8">
      <c r="A317" s="1">
        <v>42461</v>
      </c>
      <c r="B317">
        <v>100.735178855935</v>
      </c>
      <c r="C317">
        <f t="shared" si="12"/>
        <v>-7.9036476359366503E-3</v>
      </c>
      <c r="D317">
        <v>2.3404541425406898E-3</v>
      </c>
      <c r="E317" s="3">
        <f t="shared" si="13"/>
        <v>101.77214572638677</v>
      </c>
      <c r="F317">
        <v>1.1033546179533E-3</v>
      </c>
      <c r="G317">
        <f t="shared" si="14"/>
        <v>101.64653743374127</v>
      </c>
    </row>
    <row r="318" spans="1:8">
      <c r="A318" s="1">
        <v>42491</v>
      </c>
      <c r="B318">
        <v>100.519381695221</v>
      </c>
      <c r="C318">
        <f t="shared" si="12"/>
        <v>-2.1445202814458497E-3</v>
      </c>
      <c r="D318">
        <v>2.6780815096571998E-4</v>
      </c>
      <c r="E318" s="3">
        <f t="shared" si="13"/>
        <v>100.76215655792161</v>
      </c>
      <c r="F318">
        <v>6.0657609719783003E-4</v>
      </c>
      <c r="G318">
        <f t="shared" si="14"/>
        <v>100.79628240757596</v>
      </c>
    </row>
    <row r="319" spans="1:8">
      <c r="A319" s="1">
        <v>42522</v>
      </c>
      <c r="B319">
        <v>102.05901701742999</v>
      </c>
      <c r="C319">
        <f t="shared" si="12"/>
        <v>1.5200682576756108E-2</v>
      </c>
      <c r="D319" s="3">
        <v>1.7546857634442801E-5</v>
      </c>
      <c r="E319" s="3">
        <f t="shared" si="13"/>
        <v>100.52114549450111</v>
      </c>
      <c r="F319">
        <v>9.1587856877595099E-4</v>
      </c>
      <c r="G319">
        <f t="shared" si="14"/>
        <v>100.61144524266226</v>
      </c>
      <c r="H319" s="3"/>
    </row>
    <row r="320" spans="1:8">
      <c r="A320" s="1">
        <v>42552</v>
      </c>
      <c r="B320">
        <v>100.097940536979</v>
      </c>
      <c r="C320">
        <f t="shared" si="12"/>
        <v>-1.9402132117591009E-2</v>
      </c>
      <c r="D320">
        <v>-2.2318639094009901E-4</v>
      </c>
      <c r="E320" s="3">
        <f t="shared" si="13"/>
        <v>102.03623883375899</v>
      </c>
      <c r="F320">
        <v>-3.9556375704705698E-3</v>
      </c>
      <c r="G320">
        <f t="shared" si="14"/>
        <v>101.65530853531055</v>
      </c>
    </row>
    <row r="321" spans="1:8">
      <c r="A321" s="1">
        <v>42583</v>
      </c>
      <c r="B321">
        <v>102.860775874694</v>
      </c>
      <c r="C321">
        <f t="shared" si="12"/>
        <v>2.7227271281613064E-2</v>
      </c>
      <c r="D321">
        <v>1.71593064442276E-3</v>
      </c>
      <c r="E321" s="3">
        <f t="shared" si="13"/>
        <v>100.26970166059</v>
      </c>
      <c r="F321">
        <v>2.9564154101535602E-4</v>
      </c>
      <c r="G321">
        <f t="shared" si="14"/>
        <v>100.12753364637182</v>
      </c>
    </row>
    <row r="322" spans="1:8">
      <c r="A322" s="1">
        <v>42614</v>
      </c>
      <c r="B322">
        <v>102.086402814251</v>
      </c>
      <c r="C322">
        <f t="shared" si="12"/>
        <v>-7.5568422117031631E-3</v>
      </c>
      <c r="D322">
        <v>4.1997735388576898E-3</v>
      </c>
      <c r="E322" s="3">
        <f t="shared" si="13"/>
        <v>103.29276783939891</v>
      </c>
      <c r="F322">
        <v>9.3525135889649304E-3</v>
      </c>
      <c r="G322">
        <f t="shared" si="14"/>
        <v>103.82278267883355</v>
      </c>
    </row>
    <row r="323" spans="1:8">
      <c r="A323" s="1">
        <v>42644</v>
      </c>
      <c r="B323">
        <v>104.88964875102801</v>
      </c>
      <c r="C323">
        <f t="shared" si="12"/>
        <v>2.7089292108118279E-2</v>
      </c>
      <c r="D323">
        <v>1.3103656470775601E-2</v>
      </c>
      <c r="E323" s="3">
        <f t="shared" si="13"/>
        <v>103.42410796706616</v>
      </c>
      <c r="F323">
        <v>7.9769138246774604E-3</v>
      </c>
      <c r="G323">
        <f t="shared" si="14"/>
        <v>102.9007372521716</v>
      </c>
    </row>
    <row r="324" spans="1:8">
      <c r="A324" s="1">
        <v>42675</v>
      </c>
      <c r="B324">
        <v>104.39359744608301</v>
      </c>
      <c r="C324">
        <f t="shared" ref="C324:C361" si="15">LN(B324)-LN(B323)</f>
        <v>-4.7404868082470131E-3</v>
      </c>
      <c r="D324">
        <v>4.3467514216899802E-2</v>
      </c>
      <c r="E324" s="3">
        <f t="shared" si="13"/>
        <v>109.44894104931895</v>
      </c>
      <c r="F324">
        <v>6.3076666556298698E-3</v>
      </c>
      <c r="G324">
        <f t="shared" si="14"/>
        <v>105.55125769097559</v>
      </c>
    </row>
    <row r="325" spans="1:8">
      <c r="A325" s="1">
        <v>42705</v>
      </c>
      <c r="B325">
        <v>101.31415584843501</v>
      </c>
      <c r="C325">
        <f t="shared" si="15"/>
        <v>-2.9942203091072983E-2</v>
      </c>
      <c r="D325">
        <v>-3.8533322513103402E-2</v>
      </c>
      <c r="E325" s="3">
        <f t="shared" ref="E325:E361" si="16">B324*D325+B324</f>
        <v>100.37096528739001</v>
      </c>
      <c r="F325">
        <v>3.7532702554017301E-3</v>
      </c>
      <c r="G325">
        <f t="shared" si="14"/>
        <v>104.78541483023177</v>
      </c>
    </row>
    <row r="326" spans="1:8">
      <c r="A326" s="1">
        <v>42736</v>
      </c>
      <c r="B326">
        <v>101.102987946856</v>
      </c>
      <c r="C326">
        <f t="shared" si="15"/>
        <v>-2.0864633718913339E-3</v>
      </c>
      <c r="D326">
        <v>-7.5803706422448098E-3</v>
      </c>
      <c r="E326" s="3">
        <f t="shared" si="16"/>
        <v>100.54615699579772</v>
      </c>
      <c r="F326">
        <v>-9.0164519846439306E-2</v>
      </c>
      <c r="G326">
        <f t="shared" si="14"/>
        <v>92.179213632713541</v>
      </c>
    </row>
    <row r="327" spans="1:8">
      <c r="A327" s="1">
        <v>42767</v>
      </c>
      <c r="B327">
        <v>102.21660599815699</v>
      </c>
      <c r="C327">
        <f t="shared" si="15"/>
        <v>1.0954469914970844E-2</v>
      </c>
      <c r="D327">
        <v>-2.395381918177E-3</v>
      </c>
      <c r="E327" s="3">
        <f t="shared" si="16"/>
        <v>100.86080767765444</v>
      </c>
      <c r="F327">
        <v>-5.7594459503889001E-2</v>
      </c>
      <c r="G327">
        <f t="shared" ref="G327:G361" si="17">B326*F327+B326</f>
        <v>95.280016001828628</v>
      </c>
    </row>
    <row r="328" spans="1:8">
      <c r="A328" s="1">
        <v>42795</v>
      </c>
      <c r="B328">
        <v>101.42112392903201</v>
      </c>
      <c r="C328">
        <f t="shared" si="15"/>
        <v>-7.8127576427338141E-3</v>
      </c>
      <c r="D328">
        <v>-9.0604834258556297E-3</v>
      </c>
      <c r="E328" s="3">
        <f t="shared" si="16"/>
        <v>101.29047413366348</v>
      </c>
      <c r="F328">
        <v>0.12872274219989699</v>
      </c>
      <c r="G328">
        <f t="shared" si="17"/>
        <v>115.3742078206062</v>
      </c>
    </row>
    <row r="329" spans="1:8">
      <c r="A329" s="1">
        <v>42826</v>
      </c>
      <c r="B329">
        <v>101.82359084011701</v>
      </c>
      <c r="C329">
        <f t="shared" si="15"/>
        <v>3.9604221698743558E-3</v>
      </c>
      <c r="D329">
        <v>-2.6166094467043799E-3</v>
      </c>
      <c r="E329" s="3">
        <f t="shared" si="16"/>
        <v>101.15574445806392</v>
      </c>
      <c r="F329">
        <v>-1.54172617476433E-3</v>
      </c>
      <c r="G329">
        <f t="shared" si="17"/>
        <v>101.2647603275966</v>
      </c>
    </row>
    <row r="330" spans="1:8">
      <c r="A330" s="1">
        <v>42856</v>
      </c>
      <c r="B330">
        <v>101.739750409138</v>
      </c>
      <c r="C330">
        <f t="shared" si="15"/>
        <v>-8.2372823323861866E-4</v>
      </c>
      <c r="D330">
        <v>-7.1484537329524701E-4</v>
      </c>
      <c r="E330" s="3">
        <f t="shared" si="16"/>
        <v>101.75080271731264</v>
      </c>
      <c r="F330">
        <v>-7.7950221020728295E-4</v>
      </c>
      <c r="G330">
        <f t="shared" si="17"/>
        <v>101.74421912600589</v>
      </c>
    </row>
    <row r="331" spans="1:8">
      <c r="A331" s="1">
        <v>42887</v>
      </c>
      <c r="B331">
        <v>100.16808844529901</v>
      </c>
      <c r="C331">
        <f t="shared" si="15"/>
        <v>-1.5568426833204363E-2</v>
      </c>
      <c r="D331" s="3">
        <v>1.40012571137049E-5</v>
      </c>
      <c r="E331" s="3">
        <f t="shared" si="16"/>
        <v>101.74117489354217</v>
      </c>
      <c r="F331">
        <v>-9.9622551351785595E-4</v>
      </c>
      <c r="G331">
        <f t="shared" si="17"/>
        <v>101.63839467404148</v>
      </c>
      <c r="H331" s="3"/>
    </row>
    <row r="332" spans="1:8">
      <c r="A332" s="1">
        <v>42917</v>
      </c>
      <c r="B332">
        <v>101.513791680821</v>
      </c>
      <c r="C332">
        <f t="shared" si="15"/>
        <v>1.3345008544098036E-2</v>
      </c>
      <c r="D332" s="3">
        <v>-6.5330299548804706E-5</v>
      </c>
      <c r="E332" s="3">
        <f t="shared" si="16"/>
        <v>100.16154443407564</v>
      </c>
      <c r="F332">
        <v>1.57637847587466E-3</v>
      </c>
      <c r="G332">
        <f t="shared" si="17"/>
        <v>100.32599126389368</v>
      </c>
      <c r="H332" s="3"/>
    </row>
    <row r="333" spans="1:8">
      <c r="A333" s="1">
        <v>42948</v>
      </c>
      <c r="B333">
        <v>101.16259841619799</v>
      </c>
      <c r="C333">
        <f t="shared" si="15"/>
        <v>-3.4655602060391644E-3</v>
      </c>
      <c r="D333">
        <v>2.0889185834676001E-3</v>
      </c>
      <c r="E333" s="3">
        <f t="shared" si="16"/>
        <v>101.72584572674133</v>
      </c>
      <c r="F333">
        <v>-1.2611413840204399E-3</v>
      </c>
      <c r="G333">
        <f t="shared" si="17"/>
        <v>101.38576843708348</v>
      </c>
    </row>
    <row r="334" spans="1:8">
      <c r="A334" s="1">
        <v>42979</v>
      </c>
      <c r="B334">
        <v>101.98792688266801</v>
      </c>
      <c r="C334">
        <f t="shared" si="15"/>
        <v>8.1253347093843686E-3</v>
      </c>
      <c r="D334">
        <v>1.0431262198835601E-3</v>
      </c>
      <c r="E334" s="3">
        <f t="shared" si="16"/>
        <v>101.26812377507748</v>
      </c>
      <c r="F334">
        <v>2.75147729553282E-3</v>
      </c>
      <c r="G334">
        <f t="shared" si="17"/>
        <v>101.44094500889727</v>
      </c>
    </row>
    <row r="335" spans="1:8">
      <c r="A335" s="1">
        <v>43009</v>
      </c>
      <c r="B335">
        <v>103.481387921078</v>
      </c>
      <c r="C335">
        <f t="shared" si="15"/>
        <v>1.4537327301848535E-2</v>
      </c>
      <c r="D335">
        <v>-5.2978023886680603E-3</v>
      </c>
      <c r="E335" s="3">
        <f t="shared" si="16"/>
        <v>101.4476150000137</v>
      </c>
      <c r="F335">
        <v>8.6714252829551697E-3</v>
      </c>
      <c r="G335">
        <f t="shared" si="17"/>
        <v>102.87230757039455</v>
      </c>
    </row>
    <row r="336" spans="1:8">
      <c r="A336" s="1">
        <v>43040</v>
      </c>
      <c r="B336">
        <v>100.685821926312</v>
      </c>
      <c r="C336">
        <f t="shared" si="15"/>
        <v>-2.7386775043888534E-2</v>
      </c>
      <c r="D336">
        <v>1.06906052678823E-2</v>
      </c>
      <c r="E336" s="3">
        <f t="shared" si="16"/>
        <v>104.58766659191484</v>
      </c>
      <c r="F336">
        <v>3.5147541202604701E-3</v>
      </c>
      <c r="G336">
        <f t="shared" si="17"/>
        <v>103.84509955564387</v>
      </c>
    </row>
    <row r="337" spans="1:7">
      <c r="A337" s="1">
        <v>43070</v>
      </c>
      <c r="B337">
        <v>103.117927726076</v>
      </c>
      <c r="C337">
        <f t="shared" si="15"/>
        <v>2.3868268035964313E-2</v>
      </c>
      <c r="D337">
        <v>3.1727296300232402E-3</v>
      </c>
      <c r="E337" s="3">
        <f t="shared" si="16"/>
        <v>101.00527081686086</v>
      </c>
      <c r="F337">
        <v>-3.6206464283168299E-3</v>
      </c>
      <c r="G337">
        <f t="shared" si="17"/>
        <v>100.32127416477236</v>
      </c>
    </row>
    <row r="338" spans="1:7">
      <c r="A338" s="1">
        <v>43101</v>
      </c>
      <c r="B338">
        <v>101.672432500987</v>
      </c>
      <c r="C338">
        <f t="shared" si="15"/>
        <v>-1.4117063221589454E-2</v>
      </c>
      <c r="D338">
        <v>-8.3903555059805502E-4</v>
      </c>
      <c r="E338" s="3">
        <f t="shared" si="16"/>
        <v>103.03140811880982</v>
      </c>
      <c r="F338">
        <v>-1.47680926602333E-3</v>
      </c>
      <c r="G338">
        <f t="shared" si="17"/>
        <v>102.96564221491701</v>
      </c>
    </row>
    <row r="339" spans="1:7">
      <c r="A339" s="1">
        <v>43132</v>
      </c>
      <c r="B339">
        <v>101.998270512266</v>
      </c>
      <c r="C339">
        <f t="shared" si="15"/>
        <v>3.1996579227868693E-3</v>
      </c>
      <c r="D339">
        <v>-5.5145509541034698E-3</v>
      </c>
      <c r="E339" s="3">
        <f t="shared" si="16"/>
        <v>101.11175469133266</v>
      </c>
      <c r="F339">
        <v>-1.10029184725135E-3</v>
      </c>
      <c r="G339">
        <f t="shared" si="17"/>
        <v>101.56056315241595</v>
      </c>
    </row>
    <row r="340" spans="1:7">
      <c r="A340" s="1">
        <v>43160</v>
      </c>
      <c r="B340">
        <v>102.623665910375</v>
      </c>
      <c r="C340">
        <f t="shared" si="15"/>
        <v>6.1127106543752419E-3</v>
      </c>
      <c r="D340">
        <v>3.12411226332187E-3</v>
      </c>
      <c r="E340" s="3">
        <f t="shared" si="16"/>
        <v>102.31692456001099</v>
      </c>
      <c r="F340">
        <v>-6.5237289527431098E-4</v>
      </c>
      <c r="G340">
        <f t="shared" si="17"/>
        <v>101.93172960521895</v>
      </c>
    </row>
    <row r="341" spans="1:7">
      <c r="A341" s="1">
        <v>43191</v>
      </c>
      <c r="B341">
        <v>102.21411104447699</v>
      </c>
      <c r="C341">
        <f t="shared" si="15"/>
        <v>-3.9988269521309405E-3</v>
      </c>
      <c r="D341">
        <v>-6.5142661333084096E-4</v>
      </c>
      <c r="E341" s="3">
        <f t="shared" si="16"/>
        <v>102.5568141232434</v>
      </c>
      <c r="F341">
        <v>1.00766087416559E-3</v>
      </c>
      <c r="G341">
        <f t="shared" si="17"/>
        <v>102.72707576327632</v>
      </c>
    </row>
    <row r="342" spans="1:7">
      <c r="A342" s="1">
        <v>43221</v>
      </c>
      <c r="B342">
        <v>102.419821227271</v>
      </c>
      <c r="C342">
        <f t="shared" si="15"/>
        <v>2.0105194656983016E-3</v>
      </c>
      <c r="D342">
        <v>-4.6776337549090299E-3</v>
      </c>
      <c r="E342" s="3">
        <f t="shared" si="16"/>
        <v>101.73599086842732</v>
      </c>
      <c r="F342">
        <v>1.09504268039017E-3</v>
      </c>
      <c r="G342">
        <f t="shared" si="17"/>
        <v>102.32603985860884</v>
      </c>
    </row>
    <row r="343" spans="1:7">
      <c r="A343" s="1">
        <v>43252</v>
      </c>
      <c r="B343">
        <v>102.60570049735</v>
      </c>
      <c r="C343">
        <f t="shared" si="15"/>
        <v>1.8132310499039406E-3</v>
      </c>
      <c r="D343">
        <v>8.4104361012577993E-3</v>
      </c>
      <c r="E343" s="3">
        <f t="shared" si="16"/>
        <v>103.28121658920521</v>
      </c>
      <c r="F343">
        <v>9.7867276053875598E-4</v>
      </c>
      <c r="G343">
        <f t="shared" si="17"/>
        <v>102.52005671644538</v>
      </c>
    </row>
    <row r="344" spans="1:7">
      <c r="A344" s="1">
        <v>43282</v>
      </c>
      <c r="B344">
        <v>101.951891586581</v>
      </c>
      <c r="C344">
        <f t="shared" si="15"/>
        <v>-6.3924406863202776E-3</v>
      </c>
      <c r="D344">
        <v>-1.71018938999623E-3</v>
      </c>
      <c r="E344" s="3">
        <f t="shared" si="16"/>
        <v>102.4302253170063</v>
      </c>
      <c r="F344">
        <v>-6.3943368149921298E-4</v>
      </c>
      <c r="G344">
        <f t="shared" si="17"/>
        <v>102.54009095653818</v>
      </c>
    </row>
    <row r="345" spans="1:7">
      <c r="A345" s="1">
        <v>43313</v>
      </c>
      <c r="B345">
        <v>101.246913306213</v>
      </c>
      <c r="C345">
        <f t="shared" si="15"/>
        <v>-6.9388312525662244E-3</v>
      </c>
      <c r="D345">
        <v>-5.1613701507449098E-3</v>
      </c>
      <c r="E345" s="3">
        <f t="shared" si="16"/>
        <v>101.42568013653404</v>
      </c>
      <c r="F345">
        <v>6.4015612006187404E-3</v>
      </c>
      <c r="G345">
        <f t="shared" si="17"/>
        <v>102.60454286009134</v>
      </c>
    </row>
    <row r="346" spans="1:7">
      <c r="A346" s="1">
        <v>43344</v>
      </c>
      <c r="B346">
        <v>100.474228456394</v>
      </c>
      <c r="C346">
        <f t="shared" si="15"/>
        <v>-7.6609583125959446E-3</v>
      </c>
      <c r="D346">
        <v>-4.8048719763755798E-3</v>
      </c>
      <c r="E346" s="3">
        <f t="shared" si="16"/>
        <v>100.76043484977345</v>
      </c>
      <c r="F346">
        <v>-1.7438558861613201E-2</v>
      </c>
      <c r="G346">
        <f t="shared" si="17"/>
        <v>99.481313048965959</v>
      </c>
    </row>
    <row r="347" spans="1:7">
      <c r="A347" s="1">
        <v>43374</v>
      </c>
      <c r="B347">
        <v>100.50453679013999</v>
      </c>
      <c r="C347">
        <f t="shared" si="15"/>
        <v>3.0160732591344441E-4</v>
      </c>
      <c r="D347">
        <v>-1.83585509657859E-2</v>
      </c>
      <c r="E347" s="3">
        <f t="shared" si="16"/>
        <v>98.62966721252927</v>
      </c>
      <c r="F347">
        <v>1.1538153514266E-2</v>
      </c>
      <c r="G347">
        <f t="shared" si="17"/>
        <v>101.63351552855131</v>
      </c>
    </row>
    <row r="348" spans="1:7">
      <c r="A348" s="1">
        <v>43405</v>
      </c>
      <c r="B348">
        <v>104.167573495906</v>
      </c>
      <c r="C348">
        <f t="shared" si="15"/>
        <v>3.5798017360450629E-2</v>
      </c>
      <c r="D348">
        <v>2.6328496634960102E-2</v>
      </c>
      <c r="E348" s="3">
        <f t="shared" si="16"/>
        <v>103.15067014881743</v>
      </c>
      <c r="F348">
        <v>3.7585024256259198E-4</v>
      </c>
      <c r="G348">
        <f t="shared" si="17"/>
        <v>100.54231144467121</v>
      </c>
    </row>
    <row r="349" spans="1:7">
      <c r="A349" s="1">
        <v>43435</v>
      </c>
      <c r="B349">
        <v>102.041413158686</v>
      </c>
      <c r="C349">
        <f t="shared" si="15"/>
        <v>-2.0622143787521807E-2</v>
      </c>
      <c r="D349">
        <v>1.99264218099415E-3</v>
      </c>
      <c r="E349" s="3">
        <f t="shared" si="16"/>
        <v>104.37514219674574</v>
      </c>
      <c r="F349">
        <v>-1.95141439326107E-3</v>
      </c>
      <c r="G349">
        <f t="shared" si="17"/>
        <v>103.96429939367501</v>
      </c>
    </row>
    <row r="350" spans="1:7">
      <c r="A350" s="1">
        <v>43466</v>
      </c>
      <c r="B350">
        <v>99.960614225234593</v>
      </c>
      <c r="C350">
        <f t="shared" si="15"/>
        <v>-2.0602491585525406E-2</v>
      </c>
      <c r="D350">
        <v>-2.9390072450041702E-2</v>
      </c>
      <c r="E350" s="3">
        <f t="shared" si="16"/>
        <v>99.042408633047572</v>
      </c>
      <c r="F350">
        <v>-3.9438698440790098E-3</v>
      </c>
      <c r="G350">
        <f t="shared" si="17"/>
        <v>101.63897510648225</v>
      </c>
    </row>
    <row r="351" spans="1:7">
      <c r="A351" s="1">
        <v>43497</v>
      </c>
      <c r="B351">
        <v>99.768788646486797</v>
      </c>
      <c r="C351">
        <f t="shared" si="15"/>
        <v>-1.9208552668867895E-3</v>
      </c>
      <c r="D351">
        <v>-1.7920242389664E-3</v>
      </c>
      <c r="E351" s="3">
        <f t="shared" si="16"/>
        <v>99.781482381601009</v>
      </c>
      <c r="F351">
        <v>-2.6458136271685301E-3</v>
      </c>
      <c r="G351">
        <f t="shared" si="17"/>
        <v>99.696137069937336</v>
      </c>
    </row>
    <row r="352" spans="1:7">
      <c r="A352" s="1">
        <v>43525</v>
      </c>
      <c r="B352">
        <v>101.67255790136301</v>
      </c>
      <c r="C352">
        <f t="shared" si="15"/>
        <v>1.8902037440031272E-2</v>
      </c>
      <c r="D352">
        <v>1.3712724670767701E-2</v>
      </c>
      <c r="E352" s="3">
        <f t="shared" si="16"/>
        <v>101.13689057593209</v>
      </c>
      <c r="F352">
        <v>-1.08796888962388E-2</v>
      </c>
      <c r="G352">
        <f t="shared" si="17"/>
        <v>98.683335264458421</v>
      </c>
    </row>
    <row r="353" spans="1:7">
      <c r="A353" s="1">
        <v>43556</v>
      </c>
      <c r="B353">
        <v>102.690650995331</v>
      </c>
      <c r="C353">
        <f t="shared" si="15"/>
        <v>9.9636477816975599E-3</v>
      </c>
      <c r="D353">
        <v>1.5320721082389299E-2</v>
      </c>
      <c r="E353" s="3">
        <f t="shared" si="16"/>
        <v>103.23025480270286</v>
      </c>
      <c r="F353">
        <v>2.00438480824232E-2</v>
      </c>
      <c r="G353">
        <f t="shared" si="17"/>
        <v>103.71046720608931</v>
      </c>
    </row>
    <row r="354" spans="1:7">
      <c r="A354" s="1">
        <v>43586</v>
      </c>
      <c r="B354">
        <v>102.43564283465</v>
      </c>
      <c r="C354">
        <f t="shared" si="15"/>
        <v>-2.4863540143043039E-3</v>
      </c>
      <c r="D354">
        <v>6.6902632825076502E-3</v>
      </c>
      <c r="E354" s="3">
        <f t="shared" si="16"/>
        <v>103.37767848714186</v>
      </c>
      <c r="F354">
        <v>3.1891590915620301E-3</v>
      </c>
      <c r="G354">
        <f t="shared" si="17"/>
        <v>103.01814781857118</v>
      </c>
    </row>
    <row r="355" spans="1:7">
      <c r="A355" s="1">
        <v>43617</v>
      </c>
      <c r="B355">
        <v>101.703523924376</v>
      </c>
      <c r="C355">
        <f t="shared" si="15"/>
        <v>-7.1727739539095836E-3</v>
      </c>
      <c r="D355">
        <v>-4.1625211015343597E-3</v>
      </c>
      <c r="E355" s="3">
        <f t="shared" si="16"/>
        <v>102.00925230980152</v>
      </c>
      <c r="F355">
        <v>-5.3845434449612999E-3</v>
      </c>
      <c r="G355">
        <f t="shared" si="17"/>
        <v>101.88407366549428</v>
      </c>
    </row>
    <row r="356" spans="1:7">
      <c r="A356" s="1">
        <v>43647</v>
      </c>
      <c r="B356">
        <v>101.493274515026</v>
      </c>
      <c r="C356">
        <f t="shared" si="15"/>
        <v>-2.0694172939466071E-3</v>
      </c>
      <c r="D356">
        <v>3.2052102033048799E-3</v>
      </c>
      <c r="E356" s="3">
        <f t="shared" si="16"/>
        <v>102.02950509697047</v>
      </c>
      <c r="F356">
        <v>2.4965167976915802E-3</v>
      </c>
      <c r="G356">
        <f t="shared" si="17"/>
        <v>101.95742848023764</v>
      </c>
    </row>
    <row r="357" spans="1:7">
      <c r="A357" s="1">
        <v>43678</v>
      </c>
      <c r="B357">
        <v>101.97478899943199</v>
      </c>
      <c r="C357">
        <f t="shared" si="15"/>
        <v>4.7330807105350203E-3</v>
      </c>
      <c r="D357">
        <v>-1.5755424974486199E-3</v>
      </c>
      <c r="E357" s="3">
        <f t="shared" si="16"/>
        <v>101.33336754782236</v>
      </c>
      <c r="F357">
        <v>-2.3866142146289301E-3</v>
      </c>
      <c r="G357">
        <f t="shared" si="17"/>
        <v>101.2510492233792</v>
      </c>
    </row>
    <row r="358" spans="1:7">
      <c r="A358" s="1">
        <v>43709</v>
      </c>
      <c r="B358">
        <v>102.30931374341699</v>
      </c>
      <c r="C358">
        <f t="shared" si="15"/>
        <v>3.2750961872203277E-3</v>
      </c>
      <c r="D358">
        <v>-5.0656101666390896E-3</v>
      </c>
      <c r="E358" s="3">
        <f t="shared" si="16"/>
        <v>101.4582244715356</v>
      </c>
      <c r="F358">
        <v>-3.54584516026079E-3</v>
      </c>
      <c r="G358">
        <f t="shared" si="17"/>
        <v>101.61320218738975</v>
      </c>
    </row>
    <row r="359" spans="1:7">
      <c r="A359" s="1">
        <v>43739</v>
      </c>
      <c r="B359">
        <v>100.086130749194</v>
      </c>
      <c r="C359">
        <f t="shared" si="15"/>
        <v>-2.1969589480956841E-2</v>
      </c>
      <c r="D359">
        <v>7.8746100189164205E-4</v>
      </c>
      <c r="E359" s="3">
        <f t="shared" si="16"/>
        <v>102.38987833812023</v>
      </c>
      <c r="F359">
        <v>7.3338876245543296E-4</v>
      </c>
      <c r="G359">
        <f t="shared" si="17"/>
        <v>102.38434624441095</v>
      </c>
    </row>
    <row r="360" spans="1:7">
      <c r="A360" s="1">
        <v>43770</v>
      </c>
      <c r="B360">
        <v>101.993417313959</v>
      </c>
      <c r="C360">
        <f t="shared" si="15"/>
        <v>1.8877152296484567E-2</v>
      </c>
      <c r="D360">
        <v>-3.8473950698971701E-3</v>
      </c>
      <c r="E360" s="3">
        <f t="shared" si="16"/>
        <v>99.701059863184469</v>
      </c>
      <c r="F360">
        <v>-6.8005141802132104E-3</v>
      </c>
      <c r="G360">
        <f t="shared" si="17"/>
        <v>99.405493597791434</v>
      </c>
    </row>
    <row r="361" spans="1:7">
      <c r="A361" s="1">
        <v>43800</v>
      </c>
      <c r="B361">
        <v>101.339073195445</v>
      </c>
      <c r="C361">
        <f t="shared" si="15"/>
        <v>-6.4362205540291484E-3</v>
      </c>
      <c r="D361">
        <v>-4.6839374117553199E-3</v>
      </c>
      <c r="E361" s="3">
        <f t="shared" si="16"/>
        <v>101.51568653084938</v>
      </c>
      <c r="F361">
        <v>-1.67674606200307E-3</v>
      </c>
      <c r="G361">
        <f t="shared" si="17"/>
        <v>101.82240025312758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Jung, Yonggeun</dc:creator>
  <cp:lastModifiedBy>Jung, Yonggeun</cp:lastModifiedBy>
  <dcterms:created xsi:type="dcterms:W3CDTF">2025-06-24T17:45:56Z</dcterms:created>
  <dcterms:modified xsi:type="dcterms:W3CDTF">2025-06-25T00:17:25Z</dcterms:modified>
</cp:coreProperties>
</file>