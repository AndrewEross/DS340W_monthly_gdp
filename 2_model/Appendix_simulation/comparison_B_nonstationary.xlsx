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ggeun/UFL Dropbox/Jung Yonggeun/Research/Monthly GDP_2506/monthly_gdp_estimation/2_model/Appendix_simulation/"/>
    </mc:Choice>
  </mc:AlternateContent>
  <xr:revisionPtr revIDLastSave="0" documentId="13_ncr:1_{2EFE7A69-7F8E-CC42-9DD1-44D267601E1B}" xr6:coauthVersionLast="47" xr6:coauthVersionMax="47" xr10:uidLastSave="{00000000-0000-0000-0000-000000000000}"/>
  <bookViews>
    <workbookView xWindow="21840" yWindow="640" windowWidth="27700" windowHeight="16880" xr2:uid="{5F4BC430-DE58-1C45-A7D2-78DDAD7AC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5" i="1"/>
  <c r="D6" i="1"/>
  <c r="D4" i="1"/>
  <c r="D3" i="1"/>
</calcChain>
</file>

<file path=xl/sharedStrings.xml><?xml version="1.0" encoding="utf-8"?>
<sst xmlns="http://schemas.openxmlformats.org/spreadsheetml/2006/main" count="6" uniqueCount="6">
  <si>
    <t>DATE</t>
  </si>
  <si>
    <t>y_true</t>
  </si>
  <si>
    <t>LSTM_diff</t>
    <phoneticPr fontId="1" type="noConversion"/>
  </si>
  <si>
    <t>LSTM_level</t>
    <phoneticPr fontId="1" type="noConversion"/>
  </si>
  <si>
    <t>MLP_level</t>
    <phoneticPr fontId="1" type="noConversion"/>
  </si>
  <si>
    <t>MLP_diff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</si>
</sst>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18E0-37E9-1B44-954D-4A3097FBE7B5}">
  <dimension ref="A1:I361"/>
  <sheetViews>
    <sheetView tabSelected="1" workbookViewId="0">
      <selection activeCell="G1" sqref="G1:G1048576"/>
    </sheetView>
  </sheetViews>
  <sheetFormatPr baseColWidth="10" defaultRowHeight="18"/>
  <sheetData>
    <row r="1" spans="1:9">
      <c r="A1" t="s">
        <v>0</v>
      </c>
      <c r="B1" t="s">
        <v>1</v>
      </c>
      <c r="C1" s="2" t="s">
        <v>5</v>
      </c>
      <c r="D1" t="s">
        <v>4</v>
      </c>
      <c r="E1" s="2" t="s">
        <v>2</v>
      </c>
      <c r="F1" t="s">
        <v>3</v>
      </c>
      <c r="G1" s="2"/>
      <c r="I1" s="2"/>
    </row>
    <row r="2" spans="1:9">
      <c r="A2" s="1">
        <v>32874</v>
      </c>
      <c r="B2">
        <v>110.24900194071201</v>
      </c>
    </row>
    <row r="3" spans="1:9">
      <c r="A3" s="1">
        <v>32905</v>
      </c>
      <c r="B3">
        <v>113.328739637986</v>
      </c>
      <c r="C3">
        <v>-1.37430382892489E-3</v>
      </c>
      <c r="D3" s="3">
        <f>B2*C3+B2</f>
        <v>110.09748631520974</v>
      </c>
    </row>
    <row r="4" spans="1:9">
      <c r="A4" s="1">
        <v>32933</v>
      </c>
      <c r="B4">
        <v>112.86288404953901</v>
      </c>
      <c r="C4">
        <v>-1.9193299813196E-3</v>
      </c>
      <c r="D4" s="3">
        <f>B3*C4+B3</f>
        <v>113.11122439025365</v>
      </c>
    </row>
    <row r="5" spans="1:9">
      <c r="A5" s="1">
        <v>32964</v>
      </c>
      <c r="B5">
        <v>115.43439580591399</v>
      </c>
      <c r="C5">
        <v>1.3444935902953099E-2</v>
      </c>
      <c r="D5" s="3">
        <f t="shared" ref="D5:D68" si="0">B4*C5+B4</f>
        <v>114.38031829140749</v>
      </c>
    </row>
    <row r="6" spans="1:9">
      <c r="A6" s="1">
        <v>32994</v>
      </c>
      <c r="B6">
        <v>113.69327284137999</v>
      </c>
      <c r="C6">
        <v>-5.4504902800545096E-4</v>
      </c>
      <c r="D6" s="3">
        <f t="shared" si="0"/>
        <v>115.37147840068158</v>
      </c>
      <c r="E6">
        <v>-2.1144119091331898E-3</v>
      </c>
      <c r="F6">
        <f>B5*E6+B5</f>
        <v>115.19031994469837</v>
      </c>
    </row>
    <row r="7" spans="1:9">
      <c r="A7" s="1">
        <v>33025</v>
      </c>
      <c r="B7">
        <v>111.85223750980499</v>
      </c>
      <c r="C7">
        <v>5.0197576638311104E-4</v>
      </c>
      <c r="D7" s="3">
        <f t="shared" si="0"/>
        <v>113.75034410914715</v>
      </c>
      <c r="E7">
        <v>1.5516274608671599E-2</v>
      </c>
      <c r="F7">
        <f t="shared" ref="F7:F70" si="1">B6*E7+B6</f>
        <v>115.45736888394546</v>
      </c>
    </row>
    <row r="8" spans="1:9">
      <c r="A8" s="1">
        <v>33055</v>
      </c>
      <c r="B8">
        <v>112.664193600289</v>
      </c>
      <c r="C8">
        <v>6.68661296367645E-3</v>
      </c>
      <c r="D8" s="3">
        <f t="shared" si="0"/>
        <v>112.60015013115428</v>
      </c>
      <c r="E8">
        <v>-1.5523873735219199E-3</v>
      </c>
      <c r="F8">
        <f t="shared" si="1"/>
        <v>111.6785995085946</v>
      </c>
    </row>
    <row r="9" spans="1:9">
      <c r="A9" s="1">
        <v>33086</v>
      </c>
      <c r="B9">
        <v>113.610842523746</v>
      </c>
      <c r="C9">
        <v>-2.9577207751572102E-3</v>
      </c>
      <c r="D9" s="3">
        <f t="shared" si="0"/>
        <v>112.33096437426109</v>
      </c>
      <c r="E9">
        <v>-3.5851408028975102E-4</v>
      </c>
      <c r="F9">
        <f t="shared" si="1"/>
        <v>112.62380190053881</v>
      </c>
    </row>
    <row r="10" spans="1:9">
      <c r="A10" s="1">
        <v>33117</v>
      </c>
      <c r="B10">
        <v>115.69030697721099</v>
      </c>
      <c r="C10">
        <v>-8.4304530173540105E-4</v>
      </c>
      <c r="D10" s="3">
        <f t="shared" si="0"/>
        <v>113.51506343673016</v>
      </c>
      <c r="E10">
        <v>4.7967480495572003E-3</v>
      </c>
      <c r="F10">
        <f t="shared" si="1"/>
        <v>114.15580511103033</v>
      </c>
    </row>
    <row r="11" spans="1:9">
      <c r="A11" s="1">
        <v>33147</v>
      </c>
      <c r="B11">
        <v>117.067520329449</v>
      </c>
      <c r="C11">
        <v>1.16704115644097E-2</v>
      </c>
      <c r="D11" s="3">
        <f t="shared" si="0"/>
        <v>117.04046047364794</v>
      </c>
      <c r="E11">
        <v>1.53838396072387E-2</v>
      </c>
      <c r="F11">
        <f t="shared" si="1"/>
        <v>117.47006810386061</v>
      </c>
    </row>
    <row r="12" spans="1:9">
      <c r="A12" s="1">
        <v>33178</v>
      </c>
      <c r="B12">
        <v>118.058946513362</v>
      </c>
      <c r="C12">
        <v>4.17286716401577E-2</v>
      </c>
      <c r="D12" s="3">
        <f t="shared" si="0"/>
        <v>121.95259244500406</v>
      </c>
      <c r="E12">
        <v>3.80311394110322E-3</v>
      </c>
      <c r="F12">
        <f t="shared" si="1"/>
        <v>117.5127414480643</v>
      </c>
    </row>
    <row r="13" spans="1:9">
      <c r="A13" s="1">
        <v>33208</v>
      </c>
      <c r="B13">
        <v>116.865927628389</v>
      </c>
      <c r="C13">
        <v>-2.4498907849192599E-2</v>
      </c>
      <c r="D13" s="3">
        <f t="shared" si="0"/>
        <v>115.16663126195839</v>
      </c>
      <c r="E13">
        <v>9.7132185474038107E-3</v>
      </c>
      <c r="F13">
        <f t="shared" si="1"/>
        <v>119.20567886232254</v>
      </c>
    </row>
    <row r="14" spans="1:9">
      <c r="A14" s="1">
        <v>33239</v>
      </c>
      <c r="B14">
        <v>116.491105563338</v>
      </c>
      <c r="C14">
        <v>-1.1916858144104399E-2</v>
      </c>
      <c r="D14" s="3">
        <f t="shared" si="0"/>
        <v>115.47325294696232</v>
      </c>
      <c r="E14">
        <v>-2.2965455427765799E-3</v>
      </c>
      <c r="F14">
        <f t="shared" si="1"/>
        <v>116.59753970319157</v>
      </c>
    </row>
    <row r="15" spans="1:9">
      <c r="A15" s="1">
        <v>33270</v>
      </c>
      <c r="B15">
        <v>117.23849477648299</v>
      </c>
      <c r="C15">
        <v>7.2703838348388602E-2</v>
      </c>
      <c r="D15" s="3">
        <f t="shared" si="0"/>
        <v>124.96045607123999</v>
      </c>
      <c r="E15">
        <v>-2.0201469305902702E-3</v>
      </c>
      <c r="F15">
        <f t="shared" si="1"/>
        <v>116.25577641399315</v>
      </c>
    </row>
    <row r="16" spans="1:9">
      <c r="A16" s="1">
        <v>33298</v>
      </c>
      <c r="B16">
        <v>116.17464061081</v>
      </c>
      <c r="C16">
        <v>-6.6737025976181003E-2</v>
      </c>
      <c r="D16" s="3">
        <f t="shared" si="0"/>
        <v>109.41434630517649</v>
      </c>
      <c r="E16">
        <v>-1.63335679098963E-3</v>
      </c>
      <c r="F16">
        <f t="shared" si="1"/>
        <v>117.04700248487443</v>
      </c>
    </row>
    <row r="17" spans="1:6">
      <c r="A17" s="1">
        <v>33329</v>
      </c>
      <c r="B17">
        <v>118.51322924346201</v>
      </c>
      <c r="C17">
        <v>1.1922735720872801E-3</v>
      </c>
      <c r="D17" s="3">
        <f t="shared" si="0"/>
        <v>116.31315256455702</v>
      </c>
      <c r="E17">
        <v>-1.4489535242319101E-3</v>
      </c>
      <c r="F17">
        <f t="shared" si="1"/>
        <v>116.00630895587059</v>
      </c>
    </row>
    <row r="18" spans="1:6">
      <c r="A18" s="1">
        <v>33359</v>
      </c>
      <c r="B18">
        <v>114.58668648568801</v>
      </c>
      <c r="C18">
        <v>8.3517911843955495E-4</v>
      </c>
      <c r="D18" s="3">
        <f t="shared" si="0"/>
        <v>118.61220901778499</v>
      </c>
      <c r="E18">
        <v>4.3261954560875797E-3</v>
      </c>
      <c r="F18">
        <f t="shared" si="1"/>
        <v>119.02594063730133</v>
      </c>
    </row>
    <row r="19" spans="1:6">
      <c r="A19" s="1">
        <v>33390</v>
      </c>
      <c r="B19">
        <v>118.297813664736</v>
      </c>
      <c r="C19">
        <v>2.2317417897284001E-3</v>
      </c>
      <c r="D19" s="3">
        <f t="shared" si="0"/>
        <v>114.84241438246463</v>
      </c>
      <c r="E19">
        <v>1.38195231556892E-3</v>
      </c>
      <c r="F19">
        <f t="shared" si="1"/>
        <v>114.74503982241028</v>
      </c>
    </row>
    <row r="20" spans="1:6">
      <c r="A20" s="1">
        <v>33420</v>
      </c>
      <c r="B20">
        <v>122.202093375128</v>
      </c>
      <c r="C20">
        <v>3.9752971380949E-2</v>
      </c>
      <c r="D20" s="3">
        <f t="shared" si="0"/>
        <v>123.00050326577909</v>
      </c>
      <c r="E20">
        <v>-0.14928589761257099</v>
      </c>
      <c r="F20">
        <f t="shared" si="1"/>
        <v>100.63761836619122</v>
      </c>
    </row>
    <row r="21" spans="1:6">
      <c r="A21" s="1">
        <v>33451</v>
      </c>
      <c r="B21">
        <v>121.703375595157</v>
      </c>
      <c r="C21">
        <v>3.8642808794975197E-2</v>
      </c>
      <c r="D21" s="3">
        <f t="shared" si="0"/>
        <v>126.92432550376878</v>
      </c>
      <c r="E21">
        <v>-0.112223111093044</v>
      </c>
      <c r="F21">
        <f t="shared" si="1"/>
        <v>108.48819427448848</v>
      </c>
    </row>
    <row r="22" spans="1:6">
      <c r="A22" s="1">
        <v>33482</v>
      </c>
      <c r="B22">
        <v>122.616572976765</v>
      </c>
      <c r="C22">
        <v>-3.6255836486816399E-2</v>
      </c>
      <c r="D22" s="3">
        <f t="shared" si="0"/>
        <v>117.29091790968539</v>
      </c>
      <c r="E22">
        <v>0.30364894866943298</v>
      </c>
      <c r="F22">
        <f t="shared" si="1"/>
        <v>158.65847764414755</v>
      </c>
    </row>
    <row r="23" spans="1:6">
      <c r="A23" s="1">
        <v>33512</v>
      </c>
      <c r="B23">
        <v>122.603955882069</v>
      </c>
      <c r="C23">
        <v>8.2323867827653798E-3</v>
      </c>
      <c r="D23" s="3">
        <f t="shared" si="0"/>
        <v>123.62600003148691</v>
      </c>
      <c r="E23">
        <v>4.0329038165509701E-3</v>
      </c>
      <c r="F23">
        <f t="shared" si="1"/>
        <v>123.11107382189539</v>
      </c>
    </row>
    <row r="24" spans="1:6">
      <c r="A24" s="1">
        <v>33543</v>
      </c>
      <c r="B24">
        <v>122.606989401384</v>
      </c>
      <c r="C24">
        <v>-7.5293020345270599E-3</v>
      </c>
      <c r="D24" s="3">
        <f t="shared" si="0"/>
        <v>121.68083366760507</v>
      </c>
      <c r="E24">
        <v>1.44983862992376E-3</v>
      </c>
      <c r="F24">
        <f t="shared" si="1"/>
        <v>122.78171183348829</v>
      </c>
    </row>
    <row r="25" spans="1:6">
      <c r="A25" s="1">
        <v>33573</v>
      </c>
      <c r="B25">
        <v>123.044633213281</v>
      </c>
      <c r="C25">
        <v>4.0154578164219804E-3</v>
      </c>
      <c r="D25" s="3">
        <f t="shared" si="0"/>
        <v>123.09931259532375</v>
      </c>
      <c r="E25">
        <v>-7.6420005643740296E-4</v>
      </c>
      <c r="F25">
        <f t="shared" si="1"/>
        <v>122.51329313316384</v>
      </c>
    </row>
    <row r="26" spans="1:6">
      <c r="A26" s="1">
        <v>33604</v>
      </c>
      <c r="B26">
        <v>118.410803044096</v>
      </c>
      <c r="C26">
        <v>-9.9556371569633397E-3</v>
      </c>
      <c r="D26" s="3">
        <f t="shared" si="0"/>
        <v>121.81964549089794</v>
      </c>
      <c r="E26">
        <v>-4.4116795063018799E-2</v>
      </c>
      <c r="F26">
        <f t="shared" si="1"/>
        <v>117.61629834620636</v>
      </c>
    </row>
    <row r="27" spans="1:6">
      <c r="A27" s="1">
        <v>33635</v>
      </c>
      <c r="B27">
        <v>120.431826420007</v>
      </c>
      <c r="C27">
        <v>-1.58652663230896E-2</v>
      </c>
      <c r="D27" s="3">
        <f t="shared" si="0"/>
        <v>116.53218411827051</v>
      </c>
      <c r="E27">
        <v>-2.4135937565006299E-4</v>
      </c>
      <c r="F27">
        <f t="shared" si="1"/>
        <v>118.38222348660305</v>
      </c>
    </row>
    <row r="28" spans="1:6">
      <c r="A28" s="1">
        <v>33664</v>
      </c>
      <c r="B28">
        <v>115.81804355503</v>
      </c>
      <c r="C28">
        <v>-1.1794817633926801E-2</v>
      </c>
      <c r="D28" s="3">
        <f t="shared" si="0"/>
        <v>119.01135499006229</v>
      </c>
      <c r="E28">
        <v>6.74243224784731E-3</v>
      </c>
      <c r="F28">
        <f t="shared" si="1"/>
        <v>121.24382985012841</v>
      </c>
    </row>
    <row r="29" spans="1:6">
      <c r="A29" s="1">
        <v>33695</v>
      </c>
      <c r="B29">
        <v>115.363553450526</v>
      </c>
      <c r="C29">
        <v>1.0445140302181201E-2</v>
      </c>
      <c r="D29" s="3">
        <f t="shared" si="0"/>
        <v>117.02777926948643</v>
      </c>
      <c r="E29">
        <v>-2.3159205913543701E-2</v>
      </c>
      <c r="F29">
        <f t="shared" si="1"/>
        <v>113.13578963583529</v>
      </c>
    </row>
    <row r="30" spans="1:6">
      <c r="A30" s="1">
        <v>33725</v>
      </c>
      <c r="B30">
        <v>115.18534922662499</v>
      </c>
      <c r="C30">
        <v>1.01456940174102E-2</v>
      </c>
      <c r="D30" s="3">
        <f t="shared" si="0"/>
        <v>116.53399676459618</v>
      </c>
      <c r="E30">
        <v>1.4124540612101499E-2</v>
      </c>
      <c r="F30">
        <f t="shared" si="1"/>
        <v>116.9930106463943</v>
      </c>
    </row>
    <row r="31" spans="1:6">
      <c r="A31" s="1">
        <v>33756</v>
      </c>
      <c r="B31">
        <v>116.754354462488</v>
      </c>
      <c r="C31">
        <v>-4.1553977876901599E-2</v>
      </c>
      <c r="D31" s="3">
        <f t="shared" si="0"/>
        <v>110.39893977311863</v>
      </c>
      <c r="E31">
        <v>-1.19284791871905E-2</v>
      </c>
      <c r="F31">
        <f t="shared" si="1"/>
        <v>113.81136318570593</v>
      </c>
    </row>
    <row r="32" spans="1:6">
      <c r="A32" s="1">
        <v>33786</v>
      </c>
      <c r="B32">
        <v>115.140001233953</v>
      </c>
      <c r="C32">
        <v>1.4957649400457701E-3</v>
      </c>
      <c r="D32" s="3">
        <f t="shared" si="0"/>
        <v>116.92899153249066</v>
      </c>
      <c r="E32">
        <v>2.75387475267052E-3</v>
      </c>
      <c r="F32">
        <f t="shared" si="1"/>
        <v>117.07588133150658</v>
      </c>
    </row>
    <row r="33" spans="1:6">
      <c r="A33" s="1">
        <v>33817</v>
      </c>
      <c r="B33">
        <v>117.679713276315</v>
      </c>
      <c r="C33">
        <v>4.2999070137739103E-3</v>
      </c>
      <c r="D33" s="3">
        <f t="shared" si="0"/>
        <v>115.63509253282481</v>
      </c>
      <c r="E33">
        <v>-3.2341147307306502E-3</v>
      </c>
      <c r="F33">
        <f t="shared" si="1"/>
        <v>114.76762525986592</v>
      </c>
    </row>
    <row r="34" spans="1:6">
      <c r="A34" s="1">
        <v>33848</v>
      </c>
      <c r="B34">
        <v>119.17189115021</v>
      </c>
      <c r="C34">
        <v>7.6133166439831196E-3</v>
      </c>
      <c r="D34" s="3">
        <f t="shared" si="0"/>
        <v>118.57564619606073</v>
      </c>
      <c r="E34">
        <v>1.3889229856431399E-2</v>
      </c>
      <c r="F34">
        <f t="shared" si="1"/>
        <v>119.31419386344868</v>
      </c>
    </row>
    <row r="35" spans="1:6">
      <c r="A35" s="1">
        <v>33878</v>
      </c>
      <c r="B35">
        <v>115.119932126789</v>
      </c>
      <c r="C35">
        <v>-5.38946827873587E-3</v>
      </c>
      <c r="D35" s="3">
        <f t="shared" si="0"/>
        <v>118.52961802313898</v>
      </c>
      <c r="E35">
        <v>-1.1211654171347601E-2</v>
      </c>
      <c r="F35">
        <f t="shared" si="1"/>
        <v>117.83577711968837</v>
      </c>
    </row>
    <row r="36" spans="1:6">
      <c r="A36" s="1">
        <v>33909</v>
      </c>
      <c r="B36">
        <v>116.694662163454</v>
      </c>
      <c r="C36">
        <v>4.2501776479184602E-3</v>
      </c>
      <c r="D36" s="3">
        <f t="shared" si="0"/>
        <v>115.60921228914417</v>
      </c>
      <c r="E36">
        <v>3.1098927138373202E-4</v>
      </c>
      <c r="F36">
        <f t="shared" si="1"/>
        <v>115.15573319060285</v>
      </c>
    </row>
    <row r="37" spans="1:6">
      <c r="A37" s="1">
        <v>33939</v>
      </c>
      <c r="B37">
        <v>116.526925885436</v>
      </c>
      <c r="C37">
        <v>-9.2846592888235994E-3</v>
      </c>
      <c r="D37" s="3">
        <f t="shared" si="0"/>
        <v>115.61119198444196</v>
      </c>
      <c r="E37">
        <v>4.7671518404968002E-4</v>
      </c>
      <c r="F37">
        <f t="shared" si="1"/>
        <v>116.75029228080487</v>
      </c>
    </row>
    <row r="38" spans="1:6">
      <c r="A38" s="1">
        <v>33970</v>
      </c>
      <c r="B38">
        <v>117.78124839138</v>
      </c>
      <c r="C38">
        <v>1.07490085065364E-2</v>
      </c>
      <c r="D38" s="3">
        <f t="shared" si="0"/>
        <v>117.77947480301908</v>
      </c>
      <c r="E38">
        <v>-4.13638446480035E-3</v>
      </c>
      <c r="F38">
        <f t="shared" si="1"/>
        <v>116.04492571947254</v>
      </c>
    </row>
    <row r="39" spans="1:6">
      <c r="A39" s="1">
        <v>34001</v>
      </c>
      <c r="B39">
        <v>117.673408455984</v>
      </c>
      <c r="C39">
        <v>4.6179369091987603E-2</v>
      </c>
      <c r="D39" s="3">
        <f t="shared" si="0"/>
        <v>123.22031213296061</v>
      </c>
      <c r="E39">
        <v>1.1675301939249001E-2</v>
      </c>
      <c r="F39">
        <f t="shared" si="1"/>
        <v>119.15638002913106</v>
      </c>
    </row>
    <row r="40" spans="1:6">
      <c r="A40" s="1">
        <v>34029</v>
      </c>
      <c r="B40">
        <v>117.67594880217</v>
      </c>
      <c r="C40">
        <v>-4.3273780494928298E-2</v>
      </c>
      <c r="D40" s="3">
        <f t="shared" si="0"/>
        <v>112.5812352083697</v>
      </c>
      <c r="E40">
        <v>6.1156805604696196E-3</v>
      </c>
      <c r="F40">
        <f t="shared" si="1"/>
        <v>118.39306143256246</v>
      </c>
    </row>
    <row r="41" spans="1:6">
      <c r="A41" s="1">
        <v>34060</v>
      </c>
      <c r="B41">
        <v>120.579874718157</v>
      </c>
      <c r="C41">
        <v>5.7406704872846603E-2</v>
      </c>
      <c r="D41" s="3">
        <f t="shared" si="0"/>
        <v>124.43133726568838</v>
      </c>
      <c r="E41">
        <v>1.4192706439644001E-3</v>
      </c>
      <c r="F41">
        <f t="shared" si="1"/>
        <v>117.84296282180557</v>
      </c>
    </row>
    <row r="42" spans="1:6">
      <c r="A42" s="1">
        <v>34090</v>
      </c>
      <c r="B42">
        <v>123.160494711127</v>
      </c>
      <c r="C42">
        <v>-4.8705372959375298E-2</v>
      </c>
      <c r="D42" s="3">
        <f t="shared" si="0"/>
        <v>114.70698694861441</v>
      </c>
      <c r="E42">
        <v>-4.5655082911252899E-2</v>
      </c>
      <c r="F42">
        <f t="shared" si="1"/>
        <v>115.07479054047106</v>
      </c>
    </row>
    <row r="43" spans="1:6">
      <c r="A43" s="1">
        <v>34121</v>
      </c>
      <c r="B43">
        <v>121.628271617248</v>
      </c>
      <c r="C43">
        <v>2.5367507711052801E-2</v>
      </c>
      <c r="D43" s="3">
        <f t="shared" si="0"/>
        <v>126.28476951040859</v>
      </c>
      <c r="E43">
        <v>7.8304655849933597E-2</v>
      </c>
      <c r="F43">
        <f t="shared" si="1"/>
        <v>132.80453486378937</v>
      </c>
    </row>
    <row r="44" spans="1:6">
      <c r="A44" s="1">
        <v>34151</v>
      </c>
      <c r="B44">
        <v>122.259017494453</v>
      </c>
      <c r="C44">
        <v>-5.2124797366559497E-3</v>
      </c>
      <c r="D44" s="3">
        <f t="shared" si="0"/>
        <v>120.99428671603862</v>
      </c>
      <c r="E44">
        <v>4.1374135762453001E-3</v>
      </c>
      <c r="F44">
        <f t="shared" si="1"/>
        <v>122.13149807949246</v>
      </c>
    </row>
    <row r="45" spans="1:6">
      <c r="A45" s="1">
        <v>34182</v>
      </c>
      <c r="B45">
        <v>120.015700927118</v>
      </c>
      <c r="C45">
        <v>-1.19912030640989E-3</v>
      </c>
      <c r="D45" s="3">
        <f t="shared" si="0"/>
        <v>122.11241422393368</v>
      </c>
      <c r="E45">
        <v>-6.0873143374919796E-3</v>
      </c>
      <c r="F45">
        <f t="shared" si="1"/>
        <v>121.51478842437133</v>
      </c>
    </row>
    <row r="46" spans="1:6">
      <c r="A46" s="1">
        <v>34213</v>
      </c>
      <c r="B46">
        <v>119.77532680255899</v>
      </c>
      <c r="C46">
        <v>-2.7127696666866502E-3</v>
      </c>
      <c r="D46" s="3">
        <f t="shared" si="0"/>
        <v>119.69012597411678</v>
      </c>
      <c r="E46">
        <v>-7.1744695305824202E-3</v>
      </c>
      <c r="F46">
        <f t="shared" si="1"/>
        <v>119.15465193762491</v>
      </c>
    </row>
    <row r="47" spans="1:6">
      <c r="A47" s="1">
        <v>34243</v>
      </c>
      <c r="B47">
        <v>120.969140491253</v>
      </c>
      <c r="C47">
        <v>-4.7803914640098799E-4</v>
      </c>
      <c r="D47" s="3">
        <f t="shared" si="0"/>
        <v>119.7180695075744</v>
      </c>
      <c r="E47">
        <v>-5.9904641238972501E-4</v>
      </c>
      <c r="F47">
        <f t="shared" si="1"/>
        <v>119.70357582274511</v>
      </c>
    </row>
    <row r="48" spans="1:6">
      <c r="A48" s="1">
        <v>34274</v>
      </c>
      <c r="B48">
        <v>121.39258293057701</v>
      </c>
      <c r="C48">
        <v>-1.0349091608077201E-3</v>
      </c>
      <c r="D48" s="3">
        <f t="shared" si="0"/>
        <v>120.84394841958357</v>
      </c>
      <c r="E48">
        <v>-1.79591972846537E-3</v>
      </c>
      <c r="F48">
        <f t="shared" si="1"/>
        <v>120.75188962530926</v>
      </c>
    </row>
    <row r="49" spans="1:6">
      <c r="A49" s="1">
        <v>34304</v>
      </c>
      <c r="B49">
        <v>118.69241447856299</v>
      </c>
      <c r="C49">
        <v>-1.2415868695825299E-3</v>
      </c>
      <c r="D49" s="3">
        <f t="shared" si="0"/>
        <v>121.24186349354569</v>
      </c>
      <c r="E49">
        <v>-3.5956886131316402E-4</v>
      </c>
      <c r="F49">
        <f t="shared" si="1"/>
        <v>121.34893393776079</v>
      </c>
    </row>
    <row r="50" spans="1:6">
      <c r="A50" s="1">
        <v>34335</v>
      </c>
      <c r="B50">
        <v>116.988371641501</v>
      </c>
      <c r="C50">
        <v>-7.4909033719450203E-4</v>
      </c>
      <c r="D50" s="3">
        <f t="shared" si="0"/>
        <v>118.60350313777882</v>
      </c>
      <c r="E50">
        <v>-4.1187945753335897E-2</v>
      </c>
      <c r="F50">
        <f t="shared" si="1"/>
        <v>113.80371774968748</v>
      </c>
    </row>
    <row r="51" spans="1:6">
      <c r="A51" s="1">
        <v>34366</v>
      </c>
      <c r="B51">
        <v>117.28565387767701</v>
      </c>
      <c r="C51">
        <v>-2.6824045926332401E-2</v>
      </c>
      <c r="D51" s="3">
        <f t="shared" si="0"/>
        <v>113.85027018774254</v>
      </c>
      <c r="E51">
        <v>-2.76455073617398E-3</v>
      </c>
      <c r="F51">
        <f t="shared" si="1"/>
        <v>116.6649513525557</v>
      </c>
    </row>
    <row r="52" spans="1:6">
      <c r="A52" s="1">
        <v>34394</v>
      </c>
      <c r="B52">
        <v>115.525947236391</v>
      </c>
      <c r="C52">
        <v>-4.0932912379503198E-3</v>
      </c>
      <c r="D52" s="3">
        <f t="shared" si="0"/>
        <v>116.80556953832223</v>
      </c>
      <c r="E52">
        <v>1.22860688716173E-2</v>
      </c>
      <c r="F52">
        <f t="shared" si="1"/>
        <v>118.72663349887081</v>
      </c>
    </row>
    <row r="53" spans="1:6">
      <c r="A53" s="1">
        <v>34425</v>
      </c>
      <c r="B53">
        <v>117.665856055595</v>
      </c>
      <c r="C53">
        <v>1.13350724859628E-4</v>
      </c>
      <c r="D53" s="3">
        <f t="shared" si="0"/>
        <v>115.53904218625034</v>
      </c>
      <c r="E53">
        <v>6.5480708144605095E-4</v>
      </c>
      <c r="F53">
        <f t="shared" si="1"/>
        <v>115.60159444473216</v>
      </c>
    </row>
    <row r="54" spans="1:6">
      <c r="A54" s="1">
        <v>34455</v>
      </c>
      <c r="B54">
        <v>117.46947250444499</v>
      </c>
      <c r="C54">
        <v>1.9159108633175399E-3</v>
      </c>
      <c r="D54" s="3">
        <f t="shared" si="0"/>
        <v>117.89129334745347</v>
      </c>
      <c r="E54">
        <v>1.11033511348068E-3</v>
      </c>
      <c r="F54">
        <f t="shared" si="1"/>
        <v>117.7965045872313</v>
      </c>
    </row>
    <row r="55" spans="1:6">
      <c r="A55" s="1">
        <v>34486</v>
      </c>
      <c r="B55">
        <v>115.406782131223</v>
      </c>
      <c r="C55" s="3">
        <v>9.0097732027061202E-5</v>
      </c>
      <c r="D55" s="3">
        <f t="shared" si="0"/>
        <v>117.48005623750007</v>
      </c>
      <c r="E55">
        <v>3.54217132553458E-4</v>
      </c>
      <c r="F55">
        <f t="shared" si="1"/>
        <v>117.51108220415809</v>
      </c>
    </row>
    <row r="56" spans="1:6">
      <c r="A56" s="1">
        <v>34516</v>
      </c>
      <c r="B56">
        <v>115.222905178556</v>
      </c>
      <c r="C56">
        <v>-1.14645529538393E-3</v>
      </c>
      <c r="D56" s="3">
        <f t="shared" si="0"/>
        <v>115.27447341472543</v>
      </c>
      <c r="E56">
        <v>4.6742977574467598E-3</v>
      </c>
      <c r="F56">
        <f t="shared" si="1"/>
        <v>115.94622779413312</v>
      </c>
    </row>
    <row r="57" spans="1:6">
      <c r="A57" s="1">
        <v>34547</v>
      </c>
      <c r="B57">
        <v>115.706486832366</v>
      </c>
      <c r="C57">
        <v>-1.1240992695093099E-2</v>
      </c>
      <c r="D57" s="3">
        <f t="shared" si="0"/>
        <v>113.92768534313645</v>
      </c>
      <c r="E57">
        <v>-6.0557955875992697E-3</v>
      </c>
      <c r="F57">
        <f t="shared" si="1"/>
        <v>114.52513881778533</v>
      </c>
    </row>
    <row r="58" spans="1:6">
      <c r="A58" s="1">
        <v>34578</v>
      </c>
      <c r="B58">
        <v>115.152360568322</v>
      </c>
      <c r="C58">
        <v>-4.1836983291432202E-4</v>
      </c>
      <c r="D58" s="3">
        <f t="shared" si="0"/>
        <v>115.65807872880283</v>
      </c>
      <c r="E58">
        <v>-1.1424318887293301E-2</v>
      </c>
      <c r="F58">
        <f t="shared" si="1"/>
        <v>114.38461902946464</v>
      </c>
    </row>
    <row r="59" spans="1:6">
      <c r="A59" s="1">
        <v>34608</v>
      </c>
      <c r="B59">
        <v>116.74205278325501</v>
      </c>
      <c r="C59">
        <v>1.45488297566771E-2</v>
      </c>
      <c r="D59" s="3">
        <f t="shared" si="0"/>
        <v>116.82769265831001</v>
      </c>
      <c r="E59">
        <v>1.10281435772776E-2</v>
      </c>
      <c r="F59">
        <f t="shared" si="1"/>
        <v>116.42227733393189</v>
      </c>
    </row>
    <row r="60" spans="1:6">
      <c r="A60" s="1">
        <v>34639</v>
      </c>
      <c r="B60">
        <v>119.585542671181</v>
      </c>
      <c r="C60">
        <v>5.0556156784296001E-3</v>
      </c>
      <c r="D60" s="3">
        <f t="shared" si="0"/>
        <v>117.33225573563809</v>
      </c>
      <c r="E60">
        <v>6.6596465185284597E-3</v>
      </c>
      <c r="F60">
        <f t="shared" si="1"/>
        <v>117.51951358863887</v>
      </c>
    </row>
    <row r="61" spans="1:6">
      <c r="A61" s="1">
        <v>34669</v>
      </c>
      <c r="B61">
        <v>117.81702039488999</v>
      </c>
      <c r="C61">
        <v>3.4258768428117002E-3</v>
      </c>
      <c r="D61" s="3">
        <f t="shared" si="0"/>
        <v>119.99522801255327</v>
      </c>
      <c r="E61">
        <v>5.3425319492816899E-3</v>
      </c>
      <c r="F61">
        <f t="shared" si="1"/>
        <v>120.22443225357398</v>
      </c>
    </row>
    <row r="62" spans="1:6">
      <c r="A62" s="1">
        <v>34700</v>
      </c>
      <c r="B62">
        <v>118.50965773441401</v>
      </c>
      <c r="C62">
        <v>8.2727959379553795E-3</v>
      </c>
      <c r="D62" s="3">
        <f t="shared" si="0"/>
        <v>118.79169656263484</v>
      </c>
      <c r="E62">
        <v>5.3381673060357501E-3</v>
      </c>
      <c r="F62">
        <f t="shared" si="1"/>
        <v>118.44594736125654</v>
      </c>
    </row>
    <row r="63" spans="1:6">
      <c r="A63" s="1">
        <v>34731</v>
      </c>
      <c r="B63">
        <v>119.329057073239</v>
      </c>
      <c r="C63">
        <v>-2.8120481874793699E-3</v>
      </c>
      <c r="D63" s="3">
        <f t="shared" si="0"/>
        <v>118.17640286618315</v>
      </c>
      <c r="E63">
        <v>2.2025166545063201E-3</v>
      </c>
      <c r="F63">
        <f t="shared" si="1"/>
        <v>118.7706772292939</v>
      </c>
    </row>
    <row r="64" spans="1:6">
      <c r="A64" s="1">
        <v>34759</v>
      </c>
      <c r="B64">
        <v>122.30626221830001</v>
      </c>
      <c r="C64">
        <v>1.1340567842125801E-2</v>
      </c>
      <c r="D64" s="3">
        <f t="shared" si="0"/>
        <v>120.68231634051497</v>
      </c>
      <c r="E64">
        <v>9.2606320977210999E-3</v>
      </c>
      <c r="F64">
        <f t="shared" si="1"/>
        <v>120.43411956936222</v>
      </c>
    </row>
    <row r="65" spans="1:6">
      <c r="A65" s="1">
        <v>34790</v>
      </c>
      <c r="B65">
        <v>121.894106571341</v>
      </c>
      <c r="C65">
        <v>2.91702914983034E-2</v>
      </c>
      <c r="D65" s="3">
        <f t="shared" si="0"/>
        <v>125.87397153927574</v>
      </c>
      <c r="E65">
        <v>3.43503756448626E-3</v>
      </c>
      <c r="F65">
        <f t="shared" si="1"/>
        <v>122.72638882339177</v>
      </c>
    </row>
    <row r="66" spans="1:6">
      <c r="A66" s="1">
        <v>34820</v>
      </c>
      <c r="B66">
        <v>121.335629240446</v>
      </c>
      <c r="C66">
        <v>-3.4442662727087701E-3</v>
      </c>
      <c r="D66" s="3">
        <f t="shared" si="0"/>
        <v>121.47427081123536</v>
      </c>
      <c r="E66">
        <v>1.42983254045248E-2</v>
      </c>
      <c r="F66">
        <f t="shared" si="1"/>
        <v>123.63698817199186</v>
      </c>
    </row>
    <row r="67" spans="1:6">
      <c r="A67" s="1">
        <v>34851</v>
      </c>
      <c r="B67">
        <v>123.743461565134</v>
      </c>
      <c r="C67">
        <v>-6.9438759237527804E-3</v>
      </c>
      <c r="D67" s="3">
        <f t="shared" si="0"/>
        <v>120.49308968586988</v>
      </c>
      <c r="E67">
        <v>1.04878691490739E-3</v>
      </c>
      <c r="F67">
        <f t="shared" si="1"/>
        <v>121.46288446070542</v>
      </c>
    </row>
    <row r="68" spans="1:6">
      <c r="A68" s="1">
        <v>34881</v>
      </c>
      <c r="B68">
        <v>124.51263970860801</v>
      </c>
      <c r="C68">
        <v>7.5618629343807697E-3</v>
      </c>
      <c r="D68" s="3">
        <f t="shared" si="0"/>
        <v>124.67919266051535</v>
      </c>
      <c r="E68">
        <v>-3.9719673804938698E-3</v>
      </c>
      <c r="F68">
        <f t="shared" si="1"/>
        <v>123.25195657224789</v>
      </c>
    </row>
    <row r="69" spans="1:6">
      <c r="A69" s="1">
        <v>34912</v>
      </c>
      <c r="B69">
        <v>123.12868848346</v>
      </c>
      <c r="C69">
        <v>2.0808707922696998E-3</v>
      </c>
      <c r="D69" s="3">
        <f t="shared" ref="D69:D132" si="2">B68*C69+B68</f>
        <v>124.77173442384606</v>
      </c>
      <c r="E69">
        <v>4.8144520260393602E-3</v>
      </c>
      <c r="F69">
        <f t="shared" si="1"/>
        <v>125.11209983912062</v>
      </c>
    </row>
    <row r="70" spans="1:6">
      <c r="A70" s="1">
        <v>34943</v>
      </c>
      <c r="B70">
        <v>123.376244176868</v>
      </c>
      <c r="C70">
        <v>1.31787941791117E-3</v>
      </c>
      <c r="D70" s="3">
        <f t="shared" si="2"/>
        <v>123.29095724776674</v>
      </c>
      <c r="E70">
        <v>1.0118128731846801E-2</v>
      </c>
      <c r="F70">
        <f t="shared" si="1"/>
        <v>124.37452040411911</v>
      </c>
    </row>
    <row r="71" spans="1:6">
      <c r="A71" s="1">
        <v>34973</v>
      </c>
      <c r="B71">
        <v>128.08589718706401</v>
      </c>
      <c r="C71">
        <v>-8.9775109663605603E-3</v>
      </c>
      <c r="D71" s="3">
        <f t="shared" si="2"/>
        <v>122.2686325917818</v>
      </c>
      <c r="E71">
        <v>6.7899054847657602E-3</v>
      </c>
      <c r="F71">
        <f t="shared" ref="F71:F134" si="3">B70*E71+B70</f>
        <v>124.21395721389432</v>
      </c>
    </row>
    <row r="72" spans="1:6">
      <c r="A72" s="1">
        <v>35004</v>
      </c>
      <c r="B72">
        <v>126.45234602591999</v>
      </c>
      <c r="C72">
        <v>2.7403725311160001E-2</v>
      </c>
      <c r="D72" s="3">
        <f t="shared" si="2"/>
        <v>131.59592792981178</v>
      </c>
      <c r="E72">
        <v>2.2216921672224998E-2</v>
      </c>
      <c r="F72">
        <f t="shared" si="3"/>
        <v>130.93157153218567</v>
      </c>
    </row>
    <row r="73" spans="1:6">
      <c r="A73" s="1">
        <v>35034</v>
      </c>
      <c r="B73">
        <v>128.08148053951101</v>
      </c>
      <c r="C73">
        <v>1.2365966103970999E-2</v>
      </c>
      <c r="D73" s="3">
        <f t="shared" si="2"/>
        <v>128.01605145064414</v>
      </c>
      <c r="E73">
        <v>1.7853528261184599E-3</v>
      </c>
      <c r="F73">
        <f t="shared" si="3"/>
        <v>126.67810807926668</v>
      </c>
    </row>
    <row r="74" spans="1:6">
      <c r="A74" s="1">
        <v>35065</v>
      </c>
      <c r="B74">
        <v>124.83308263403001</v>
      </c>
      <c r="C74">
        <v>-5.1535081118345198E-2</v>
      </c>
      <c r="D74" s="3">
        <f t="shared" si="2"/>
        <v>121.48079105014955</v>
      </c>
      <c r="E74">
        <v>-1.6539998352527601E-2</v>
      </c>
      <c r="F74">
        <f t="shared" si="3"/>
        <v>125.9630130623982</v>
      </c>
    </row>
    <row r="75" spans="1:6">
      <c r="A75" s="1">
        <v>35096</v>
      </c>
      <c r="B75">
        <v>126.56669658204299</v>
      </c>
      <c r="C75">
        <v>-3.7953117862343701E-3</v>
      </c>
      <c r="D75" s="3">
        <f t="shared" si="2"/>
        <v>124.3593021641971</v>
      </c>
      <c r="E75">
        <v>-7.0265471003949599E-3</v>
      </c>
      <c r="F75">
        <f t="shared" si="3"/>
        <v>123.95593709921449</v>
      </c>
    </row>
    <row r="76" spans="1:6">
      <c r="A76" s="1">
        <v>35125</v>
      </c>
      <c r="B76">
        <v>123.32031110606199</v>
      </c>
      <c r="C76">
        <v>3.4468110650777803E-2</v>
      </c>
      <c r="D76" s="3">
        <f t="shared" si="2"/>
        <v>130.92921148453627</v>
      </c>
      <c r="E76">
        <v>2.7042587753385301E-3</v>
      </c>
      <c r="F76">
        <f t="shared" si="3"/>
        <v>126.90896568194059</v>
      </c>
    </row>
    <row r="77" spans="1:6">
      <c r="A77" s="1">
        <v>35156</v>
      </c>
      <c r="B77">
        <v>125.08646018216101</v>
      </c>
      <c r="C77">
        <v>2.7785441488958798E-4</v>
      </c>
      <c r="D77" s="3">
        <f t="shared" si="2"/>
        <v>123.35457619894837</v>
      </c>
      <c r="E77">
        <v>9.898950811475511E-4</v>
      </c>
      <c r="F77">
        <f t="shared" si="3"/>
        <v>123.44238527543148</v>
      </c>
    </row>
    <row r="78" spans="1:6">
      <c r="A78" s="1">
        <v>35186</v>
      </c>
      <c r="B78">
        <v>124.970719890469</v>
      </c>
      <c r="C78">
        <v>4.0451996028423298E-4</v>
      </c>
      <c r="D78" s="3">
        <f t="shared" si="2"/>
        <v>125.13706015206598</v>
      </c>
      <c r="E78" s="3">
        <v>-6.1502461903728504E-5</v>
      </c>
      <c r="F78">
        <f t="shared" si="3"/>
        <v>125.07876705690897</v>
      </c>
    </row>
    <row r="79" spans="1:6">
      <c r="A79" s="1">
        <v>35217</v>
      </c>
      <c r="B79">
        <v>125.031798335727</v>
      </c>
      <c r="C79">
        <v>3.0157779110595503E-4</v>
      </c>
      <c r="D79" s="3">
        <f t="shared" si="2"/>
        <v>125.00840828412649</v>
      </c>
      <c r="E79" s="3">
        <v>5.5559627071488601E-5</v>
      </c>
      <c r="F79">
        <f t="shared" si="3"/>
        <v>124.97766321706096</v>
      </c>
    </row>
    <row r="80" spans="1:6">
      <c r="A80" s="1">
        <v>35247</v>
      </c>
      <c r="B80">
        <v>126.47535311179401</v>
      </c>
      <c r="C80">
        <v>1.90470123197883E-3</v>
      </c>
      <c r="D80" s="3">
        <f t="shared" si="2"/>
        <v>125.2699465560536</v>
      </c>
      <c r="E80">
        <v>7.4980116914957697E-4</v>
      </c>
      <c r="F80">
        <f t="shared" si="3"/>
        <v>125.1255473243</v>
      </c>
    </row>
    <row r="81" spans="1:6">
      <c r="A81" s="1">
        <v>35278</v>
      </c>
      <c r="B81">
        <v>127.121529692057</v>
      </c>
      <c r="C81">
        <v>4.73882816731929E-3</v>
      </c>
      <c r="D81" s="3">
        <f t="shared" si="2"/>
        <v>127.07469807759183</v>
      </c>
      <c r="E81">
        <v>1.18536315858364E-2</v>
      </c>
      <c r="F81">
        <f t="shared" si="3"/>
        <v>127.97454535226979</v>
      </c>
    </row>
    <row r="82" spans="1:6">
      <c r="A82" s="1">
        <v>35309</v>
      </c>
      <c r="B82">
        <v>126.287762113014</v>
      </c>
      <c r="C82">
        <v>6.0608377680182396E-3</v>
      </c>
      <c r="D82" s="3">
        <f t="shared" si="2"/>
        <v>127.89199266034286</v>
      </c>
      <c r="E82">
        <v>1.0093348828377199E-4</v>
      </c>
      <c r="F82">
        <f t="shared" si="3"/>
        <v>127.13436051148479</v>
      </c>
    </row>
    <row r="83" spans="1:6">
      <c r="A83" s="1">
        <v>35339</v>
      </c>
      <c r="B83">
        <v>125.56495796873099</v>
      </c>
      <c r="C83">
        <v>2.23764637485146E-3</v>
      </c>
      <c r="D83" s="3">
        <f t="shared" si="2"/>
        <v>126.57034946609429</v>
      </c>
      <c r="E83">
        <v>5.9876614250242701E-3</v>
      </c>
      <c r="F83">
        <f t="shared" si="3"/>
        <v>127.04393047467073</v>
      </c>
    </row>
    <row r="84" spans="1:6">
      <c r="A84" s="1">
        <v>35370</v>
      </c>
      <c r="B84">
        <v>125.887017807623</v>
      </c>
      <c r="C84">
        <v>-3.0787533614784401E-3</v>
      </c>
      <c r="D84" s="3">
        <f t="shared" si="2"/>
        <v>125.17837443230087</v>
      </c>
      <c r="E84">
        <v>-7.5193620286881898E-3</v>
      </c>
      <c r="F84">
        <f t="shared" si="3"/>
        <v>124.6207895916471</v>
      </c>
    </row>
    <row r="85" spans="1:6">
      <c r="A85" s="1">
        <v>35400</v>
      </c>
      <c r="B85">
        <v>121.727855227505</v>
      </c>
      <c r="C85">
        <v>-1.6966108232736501E-2</v>
      </c>
      <c r="D85" s="3">
        <f t="shared" si="2"/>
        <v>123.75120503840243</v>
      </c>
      <c r="E85">
        <v>-1.6275517642497999E-2</v>
      </c>
      <c r="F85">
        <f t="shared" si="3"/>
        <v>123.83814142833357</v>
      </c>
    </row>
    <row r="86" spans="1:6">
      <c r="A86" s="1">
        <v>35431</v>
      </c>
      <c r="B86">
        <v>124.95555824989199</v>
      </c>
      <c r="C86">
        <v>-1.1784676462411801E-2</v>
      </c>
      <c r="D86" s="3">
        <f t="shared" si="2"/>
        <v>120.29333183718555</v>
      </c>
      <c r="E86">
        <v>7.0002628490328702E-4</v>
      </c>
      <c r="F86">
        <f t="shared" si="3"/>
        <v>121.81306792576916</v>
      </c>
    </row>
    <row r="87" spans="1:6">
      <c r="A87" s="1">
        <v>35462</v>
      </c>
      <c r="B87">
        <v>122.77470564441801</v>
      </c>
      <c r="C87" s="3">
        <v>8.3750805060844801E-5</v>
      </c>
      <c r="D87" s="3">
        <f t="shared" si="2"/>
        <v>124.96602337849225</v>
      </c>
      <c r="E87">
        <v>-7.48987263068556E-3</v>
      </c>
      <c r="F87">
        <f t="shared" si="3"/>
        <v>124.01965703410409</v>
      </c>
    </row>
    <row r="88" spans="1:6">
      <c r="A88" s="1">
        <v>35490</v>
      </c>
      <c r="B88">
        <v>120.934007091889</v>
      </c>
      <c r="C88">
        <v>-4.7310342779382998E-4</v>
      </c>
      <c r="D88" s="3">
        <f t="shared" si="2"/>
        <v>122.71662051033125</v>
      </c>
      <c r="E88">
        <v>-5.3841834887862197E-3</v>
      </c>
      <c r="F88">
        <f t="shared" si="3"/>
        <v>122.11366410144674</v>
      </c>
    </row>
    <row r="89" spans="1:6">
      <c r="A89" s="1">
        <v>35521</v>
      </c>
      <c r="B89">
        <v>120.01121684903001</v>
      </c>
      <c r="C89">
        <v>-1.6663356218487E-3</v>
      </c>
      <c r="D89" s="3">
        <f t="shared" si="2"/>
        <v>120.73249044797888</v>
      </c>
      <c r="E89">
        <v>1.9748334307223502E-3</v>
      </c>
      <c r="F89">
        <f t="shared" si="3"/>
        <v>121.17283161200528</v>
      </c>
    </row>
    <row r="90" spans="1:6">
      <c r="A90" s="1">
        <v>35551</v>
      </c>
      <c r="B90">
        <v>120.819551764805</v>
      </c>
      <c r="C90">
        <v>-1.4331391081213901E-2</v>
      </c>
      <c r="D90" s="3">
        <f t="shared" si="2"/>
        <v>118.29128916623419</v>
      </c>
      <c r="E90">
        <v>-3.2493656035512599E-3</v>
      </c>
      <c r="F90">
        <f t="shared" si="3"/>
        <v>119.62125652896043</v>
      </c>
    </row>
    <row r="91" spans="1:6">
      <c r="A91" s="1">
        <v>35582</v>
      </c>
      <c r="B91">
        <v>121.924434434293</v>
      </c>
      <c r="C91">
        <v>-1.6043333744164499E-4</v>
      </c>
      <c r="D91" s="3">
        <f t="shared" si="2"/>
        <v>120.80016828088716</v>
      </c>
      <c r="E91">
        <v>-1.48836281150579E-2</v>
      </c>
      <c r="F91">
        <f t="shared" si="3"/>
        <v>119.02131848730966</v>
      </c>
    </row>
    <row r="92" spans="1:6">
      <c r="A92" s="1">
        <v>35612</v>
      </c>
      <c r="B92">
        <v>120.854685027261</v>
      </c>
      <c r="C92">
        <v>-4.0241621900349801E-4</v>
      </c>
      <c r="D92" s="3">
        <f t="shared" si="2"/>
        <v>121.87537006438382</v>
      </c>
      <c r="E92">
        <v>-3.6383615806698799E-3</v>
      </c>
      <c r="F92">
        <f t="shared" si="3"/>
        <v>121.48082925630237</v>
      </c>
    </row>
    <row r="93" spans="1:6">
      <c r="A93" s="1">
        <v>35643</v>
      </c>
      <c r="B93">
        <v>121.996244833784</v>
      </c>
      <c r="C93" s="3">
        <v>8.4036646512686207E-6</v>
      </c>
      <c r="D93" s="3">
        <f t="shared" si="2"/>
        <v>120.85570064950551</v>
      </c>
      <c r="E93">
        <v>5.2566261729225495E-4</v>
      </c>
      <c r="F93">
        <f t="shared" si="3"/>
        <v>120.91821381730446</v>
      </c>
    </row>
    <row r="94" spans="1:6">
      <c r="A94" s="1">
        <v>35674</v>
      </c>
      <c r="B94">
        <v>119.16674707269</v>
      </c>
      <c r="C94">
        <v>-1.64118048269301E-3</v>
      </c>
      <c r="D94" s="3">
        <f t="shared" si="2"/>
        <v>121.79602697780096</v>
      </c>
      <c r="E94">
        <v>1.0775058763101599E-3</v>
      </c>
      <c r="F94">
        <f t="shared" si="3"/>
        <v>122.12769650448018</v>
      </c>
    </row>
    <row r="95" spans="1:6">
      <c r="A95" s="1">
        <v>35704</v>
      </c>
      <c r="B95">
        <v>120.47879714707901</v>
      </c>
      <c r="C95">
        <v>-1.3409827370196501E-3</v>
      </c>
      <c r="D95" s="3">
        <f t="shared" si="2"/>
        <v>119.00694652203873</v>
      </c>
      <c r="E95">
        <v>-2.10374113521538E-4</v>
      </c>
      <c r="F95">
        <f t="shared" si="3"/>
        <v>119.14167747391333</v>
      </c>
    </row>
    <row r="96" spans="1:6">
      <c r="A96" s="1">
        <v>35735</v>
      </c>
      <c r="B96">
        <v>119.345866678511</v>
      </c>
      <c r="C96">
        <v>-2.4096949491649801E-3</v>
      </c>
      <c r="D96" s="3">
        <f t="shared" si="2"/>
        <v>120.18847999811221</v>
      </c>
      <c r="E96">
        <v>-1.4164219610393E-3</v>
      </c>
      <c r="F96">
        <f t="shared" si="3"/>
        <v>120.30814833296029</v>
      </c>
    </row>
    <row r="97" spans="1:6">
      <c r="A97" s="1">
        <v>35765</v>
      </c>
      <c r="B97">
        <v>120.87752849841701</v>
      </c>
      <c r="C97">
        <v>1.10301654785871E-4</v>
      </c>
      <c r="D97" s="3">
        <f t="shared" si="2"/>
        <v>119.3590307250975</v>
      </c>
      <c r="E97">
        <v>-2.0135799422860098E-3</v>
      </c>
      <c r="F97">
        <f t="shared" si="3"/>
        <v>119.10555423517241</v>
      </c>
    </row>
    <row r="98" spans="1:6">
      <c r="A98" s="1">
        <v>35796</v>
      </c>
      <c r="B98">
        <v>120.005793515185</v>
      </c>
      <c r="C98">
        <v>-7.6032173819839902E-3</v>
      </c>
      <c r="D98" s="3">
        <f t="shared" si="2"/>
        <v>119.95847037264657</v>
      </c>
      <c r="E98">
        <v>-1.6491109505295701E-2</v>
      </c>
      <c r="F98">
        <f t="shared" si="3"/>
        <v>118.8841239392201</v>
      </c>
    </row>
    <row r="99" spans="1:6">
      <c r="A99" s="1">
        <v>35827</v>
      </c>
      <c r="B99">
        <v>117.558981769477</v>
      </c>
      <c r="C99">
        <v>-9.2198392376303603E-3</v>
      </c>
      <c r="D99" s="3">
        <f t="shared" si="2"/>
        <v>118.89935939139073</v>
      </c>
      <c r="E99">
        <v>5.5867815390229199E-3</v>
      </c>
      <c r="F99">
        <f t="shared" si="3"/>
        <v>120.67623966697144</v>
      </c>
    </row>
    <row r="100" spans="1:6">
      <c r="A100" s="1">
        <v>35855</v>
      </c>
      <c r="B100">
        <v>114.120680029716</v>
      </c>
      <c r="C100">
        <v>-8.4924278780817899E-3</v>
      </c>
      <c r="D100" s="3">
        <f t="shared" si="2"/>
        <v>116.56062059537898</v>
      </c>
      <c r="E100">
        <v>-1.4411155134439401E-2</v>
      </c>
      <c r="F100">
        <f t="shared" si="3"/>
        <v>115.86482104575033</v>
      </c>
    </row>
    <row r="101" spans="1:6">
      <c r="A101" s="1">
        <v>35886</v>
      </c>
      <c r="B101">
        <v>115.893151585586</v>
      </c>
      <c r="C101">
        <v>-6.3849859870970197E-3</v>
      </c>
      <c r="D101" s="3">
        <f t="shared" si="2"/>
        <v>113.39202108688828</v>
      </c>
      <c r="E101">
        <v>-1.8605997785925799E-2</v>
      </c>
      <c r="F101">
        <f t="shared" si="3"/>
        <v>111.99735090975476</v>
      </c>
    </row>
    <row r="102" spans="1:6">
      <c r="A102" s="1">
        <v>35916</v>
      </c>
      <c r="B102">
        <v>115.55101315982201</v>
      </c>
      <c r="C102">
        <v>-3.8803494535386502E-3</v>
      </c>
      <c r="D102" s="3">
        <f t="shared" si="2"/>
        <v>115.44344565816199</v>
      </c>
      <c r="E102">
        <v>-5.2192606963217198E-3</v>
      </c>
      <c r="F102">
        <f t="shared" si="3"/>
        <v>115.28827501454249</v>
      </c>
    </row>
    <row r="103" spans="1:6">
      <c r="A103" s="1">
        <v>35947</v>
      </c>
      <c r="B103">
        <v>114.758786340499</v>
      </c>
      <c r="C103">
        <v>-5.4466812871396498E-3</v>
      </c>
      <c r="D103" s="3">
        <f t="shared" si="2"/>
        <v>114.92164361873438</v>
      </c>
      <c r="E103">
        <v>8.1132426857948303E-3</v>
      </c>
      <c r="F103">
        <f t="shared" si="3"/>
        <v>116.48850657217712</v>
      </c>
    </row>
    <row r="104" spans="1:6">
      <c r="A104" s="1">
        <v>35977</v>
      </c>
      <c r="B104">
        <v>115.158551747098</v>
      </c>
      <c r="C104">
        <v>-2.4609996471554002E-3</v>
      </c>
      <c r="D104" s="3">
        <f t="shared" si="2"/>
        <v>114.47636500780705</v>
      </c>
      <c r="E104">
        <v>2.5820068549364801E-3</v>
      </c>
      <c r="F104">
        <f t="shared" si="3"/>
        <v>115.05509431349437</v>
      </c>
    </row>
    <row r="105" spans="1:6">
      <c r="A105" s="1">
        <v>36008</v>
      </c>
      <c r="B105">
        <v>112.942837763396</v>
      </c>
      <c r="C105">
        <v>-2.3330666590481901E-3</v>
      </c>
      <c r="D105" s="3">
        <f t="shared" si="2"/>
        <v>114.88987916951257</v>
      </c>
      <c r="E105">
        <v>-4.5333905145525898E-3</v>
      </c>
      <c r="F105">
        <f t="shared" si="3"/>
        <v>114.63649306093809</v>
      </c>
    </row>
    <row r="106" spans="1:6">
      <c r="A106" s="1">
        <v>36039</v>
      </c>
      <c r="B106">
        <v>116.043204924001</v>
      </c>
      <c r="C106">
        <v>-1.1691988911479701E-3</v>
      </c>
      <c r="D106" s="3">
        <f t="shared" si="2"/>
        <v>112.81078512271993</v>
      </c>
      <c r="E106">
        <v>-4.0118810720741697E-3</v>
      </c>
      <c r="F106">
        <f t="shared" si="3"/>
        <v>112.48972453034669</v>
      </c>
    </row>
    <row r="107" spans="1:6">
      <c r="A107" s="1">
        <v>36069</v>
      </c>
      <c r="B107">
        <v>117.244322373716</v>
      </c>
      <c r="C107">
        <v>1.8090903759002601E-3</v>
      </c>
      <c r="D107" s="3">
        <f t="shared" si="2"/>
        <v>116.25313756921763</v>
      </c>
      <c r="E107">
        <v>1.12087395973503E-3</v>
      </c>
      <c r="F107">
        <f t="shared" si="3"/>
        <v>116.17327473060452</v>
      </c>
    </row>
    <row r="108" spans="1:6">
      <c r="A108" s="1">
        <v>36100</v>
      </c>
      <c r="B108">
        <v>114.517331744522</v>
      </c>
      <c r="C108">
        <v>1.2610881589353E-2</v>
      </c>
      <c r="D108" s="3">
        <f t="shared" si="2"/>
        <v>118.72287664019487</v>
      </c>
      <c r="E108">
        <v>5.8371885679662202E-3</v>
      </c>
      <c r="F108">
        <f t="shared" si="3"/>
        <v>117.9286995919348</v>
      </c>
    </row>
    <row r="109" spans="1:6">
      <c r="A109" s="1">
        <v>36130</v>
      </c>
      <c r="B109">
        <v>116.079153405849</v>
      </c>
      <c r="C109">
        <v>-3.7369481287896598E-3</v>
      </c>
      <c r="D109" s="3">
        <f t="shared" si="2"/>
        <v>114.08938641594533</v>
      </c>
      <c r="E109">
        <v>3.7249610759317801E-3</v>
      </c>
      <c r="F109">
        <f t="shared" si="3"/>
        <v>114.94390434778991</v>
      </c>
    </row>
    <row r="110" spans="1:6">
      <c r="A110" s="1">
        <v>36161</v>
      </c>
      <c r="B110">
        <v>114.48290042758001</v>
      </c>
      <c r="C110">
        <v>-1.83783960528671E-3</v>
      </c>
      <c r="D110" s="3">
        <f t="shared" si="2"/>
        <v>115.86581854037158</v>
      </c>
      <c r="E110">
        <v>-7.0011736825108502E-3</v>
      </c>
      <c r="F110">
        <f t="shared" si="3"/>
        <v>115.26646309193583</v>
      </c>
    </row>
    <row r="111" spans="1:6">
      <c r="A111" s="1">
        <v>36192</v>
      </c>
      <c r="B111">
        <v>114.4070890385</v>
      </c>
      <c r="C111">
        <v>-4.2515527456998799E-3</v>
      </c>
      <c r="D111" s="3">
        <f t="shared" si="2"/>
        <v>113.99617033793145</v>
      </c>
      <c r="E111">
        <v>-7.2155008092522604E-3</v>
      </c>
      <c r="F111">
        <f t="shared" si="3"/>
        <v>113.65684896689926</v>
      </c>
    </row>
    <row r="112" spans="1:6">
      <c r="A112" s="1">
        <v>36220</v>
      </c>
      <c r="B112">
        <v>115.023365355274</v>
      </c>
      <c r="C112">
        <v>-5.2657825872302003E-3</v>
      </c>
      <c r="D112" s="3">
        <f t="shared" si="2"/>
        <v>113.80464618118538</v>
      </c>
      <c r="E112">
        <v>2.8614995535462999E-3</v>
      </c>
      <c r="F112">
        <f t="shared" si="3"/>
        <v>114.7344648727062</v>
      </c>
    </row>
    <row r="113" spans="1:6">
      <c r="A113" s="1">
        <v>36251</v>
      </c>
      <c r="B113">
        <v>113.882509603919</v>
      </c>
      <c r="C113">
        <v>3.3166210632771202E-3</v>
      </c>
      <c r="D113" s="3">
        <f t="shared" si="2"/>
        <v>115.40485427158032</v>
      </c>
      <c r="E113">
        <v>-5.5142124183475902E-3</v>
      </c>
      <c r="F113">
        <f t="shared" si="3"/>
        <v>114.38910208563181</v>
      </c>
    </row>
    <row r="114" spans="1:6">
      <c r="A114" s="1">
        <v>36281</v>
      </c>
      <c r="B114">
        <v>112.964621262262</v>
      </c>
      <c r="C114">
        <v>2.1049447823315798E-3</v>
      </c>
      <c r="D114" s="3">
        <f t="shared" si="2"/>
        <v>114.12222599830859</v>
      </c>
      <c r="E114">
        <v>-7.8530684113502502E-3</v>
      </c>
      <c r="F114">
        <f t="shared" si="3"/>
        <v>112.98818246514318</v>
      </c>
    </row>
    <row r="115" spans="1:6">
      <c r="A115" s="1">
        <v>36312</v>
      </c>
      <c r="B115">
        <v>113.121929605746</v>
      </c>
      <c r="C115">
        <v>-1.6956701874732898E-2</v>
      </c>
      <c r="D115" s="3">
        <f t="shared" si="2"/>
        <v>111.0491138571257</v>
      </c>
      <c r="E115">
        <v>1.83214526623487E-3</v>
      </c>
      <c r="F115">
        <f t="shared" si="3"/>
        <v>113.17158885835967</v>
      </c>
    </row>
    <row r="116" spans="1:6">
      <c r="A116" s="1">
        <v>36342</v>
      </c>
      <c r="B116">
        <v>111.100561394339</v>
      </c>
      <c r="C116">
        <v>-6.85319770127534E-3</v>
      </c>
      <c r="D116" s="3">
        <f t="shared" si="2"/>
        <v>112.34668265780807</v>
      </c>
      <c r="E116">
        <v>-2.2559887729585101E-3</v>
      </c>
      <c r="F116">
        <f t="shared" si="3"/>
        <v>112.86672780258004</v>
      </c>
    </row>
    <row r="117" spans="1:6">
      <c r="A117" s="1">
        <v>36373</v>
      </c>
      <c r="B117">
        <v>110.357498820798</v>
      </c>
      <c r="C117">
        <v>-2.98543949611485E-3</v>
      </c>
      <c r="D117" s="3">
        <f t="shared" si="2"/>
        <v>110.7688773903118</v>
      </c>
      <c r="E117">
        <v>-6.4782202243804897E-3</v>
      </c>
      <c r="F117">
        <f t="shared" si="3"/>
        <v>110.38082749057416</v>
      </c>
    </row>
    <row r="118" spans="1:6">
      <c r="A118" s="1">
        <v>36404</v>
      </c>
      <c r="B118">
        <v>112.587847406043</v>
      </c>
      <c r="C118">
        <v>-7.7375452965497901E-3</v>
      </c>
      <c r="D118" s="3">
        <f t="shared" si="2"/>
        <v>109.50360267485813</v>
      </c>
      <c r="E118">
        <v>-8.8419746607542003E-3</v>
      </c>
      <c r="F118">
        <f t="shared" si="3"/>
        <v>109.38172061260029</v>
      </c>
    </row>
    <row r="119" spans="1:6">
      <c r="A119" s="1">
        <v>36434</v>
      </c>
      <c r="B119">
        <v>112.458700707373</v>
      </c>
      <c r="C119">
        <v>-2.73906905204057E-2</v>
      </c>
      <c r="D119" s="3">
        <f t="shared" si="2"/>
        <v>109.50398852138541</v>
      </c>
      <c r="E119">
        <v>-3.1236656010150899E-2</v>
      </c>
      <c r="F119">
        <f t="shared" si="3"/>
        <v>109.07097954569707</v>
      </c>
    </row>
    <row r="120" spans="1:6">
      <c r="A120" s="1">
        <v>36465</v>
      </c>
      <c r="B120">
        <v>114.402519096143</v>
      </c>
      <c r="C120">
        <v>3.6430772393941803E-2</v>
      </c>
      <c r="D120" s="3">
        <f t="shared" si="2"/>
        <v>116.55565803656172</v>
      </c>
      <c r="E120">
        <v>1.37965185567736E-2</v>
      </c>
      <c r="F120">
        <f t="shared" si="3"/>
        <v>114.01023925855291</v>
      </c>
    </row>
    <row r="121" spans="1:6">
      <c r="A121" s="1">
        <v>36495</v>
      </c>
      <c r="B121">
        <v>115.217831796098</v>
      </c>
      <c r="C121">
        <v>1.4723340049386E-2</v>
      </c>
      <c r="D121" s="3">
        <f t="shared" si="2"/>
        <v>116.08690628730189</v>
      </c>
      <c r="E121">
        <v>4.1203562170267098E-2</v>
      </c>
      <c r="F121">
        <f t="shared" si="3"/>
        <v>119.1163104041561</v>
      </c>
    </row>
    <row r="122" spans="1:6">
      <c r="A122" s="1">
        <v>36526</v>
      </c>
      <c r="B122">
        <v>114.582924592202</v>
      </c>
      <c r="C122">
        <v>6.5556275658309399E-3</v>
      </c>
      <c r="D122" s="3">
        <f t="shared" si="2"/>
        <v>115.97315699029576</v>
      </c>
      <c r="E122">
        <v>-3.7469826638698502E-2</v>
      </c>
      <c r="F122">
        <f t="shared" si="3"/>
        <v>110.90063961301148</v>
      </c>
    </row>
    <row r="123" spans="1:6">
      <c r="A123" s="1">
        <v>36557</v>
      </c>
      <c r="B123">
        <v>117.437646283064</v>
      </c>
      <c r="C123">
        <v>2.80251652002334E-2</v>
      </c>
      <c r="D123" s="3">
        <f t="shared" si="2"/>
        <v>117.79412998302435</v>
      </c>
      <c r="E123">
        <v>-6.8428488448262197E-3</v>
      </c>
      <c r="F123">
        <f t="shared" si="3"/>
        <v>113.79885095901945</v>
      </c>
    </row>
    <row r="124" spans="1:6">
      <c r="A124" s="1">
        <v>36586</v>
      </c>
      <c r="B124">
        <v>120.96668081041599</v>
      </c>
      <c r="C124">
        <v>-3.19070438854396E-3</v>
      </c>
      <c r="D124" s="3">
        <f t="shared" si="2"/>
        <v>117.06293746968835</v>
      </c>
      <c r="E124">
        <v>7.5702764093875802E-2</v>
      </c>
      <c r="F124">
        <f t="shared" si="3"/>
        <v>126.32800071537082</v>
      </c>
    </row>
    <row r="125" spans="1:6">
      <c r="A125" s="1">
        <v>36617</v>
      </c>
      <c r="B125">
        <v>119.258033433788</v>
      </c>
      <c r="C125">
        <v>1.04185584932565E-2</v>
      </c>
      <c r="D125" s="3">
        <f t="shared" si="2"/>
        <v>122.2269792501744</v>
      </c>
      <c r="E125">
        <v>5.4101228713989202E-2</v>
      </c>
      <c r="F125">
        <f t="shared" si="3"/>
        <v>127.51112687571243</v>
      </c>
    </row>
    <row r="126" spans="1:6">
      <c r="A126" s="1">
        <v>36647</v>
      </c>
      <c r="B126">
        <v>119.111818960137</v>
      </c>
      <c r="C126">
        <v>4.0223957039415802E-3</v>
      </c>
      <c r="D126" s="3">
        <f t="shared" si="2"/>
        <v>119.73773643513259</v>
      </c>
      <c r="E126">
        <v>-4.1598584502935403E-2</v>
      </c>
      <c r="F126">
        <f t="shared" si="3"/>
        <v>114.29706805233867</v>
      </c>
    </row>
    <row r="127" spans="1:6">
      <c r="A127" s="1">
        <v>36678</v>
      </c>
      <c r="B127">
        <v>119.140208112376</v>
      </c>
      <c r="C127">
        <v>-1.7093932256102499E-3</v>
      </c>
      <c r="D127" s="3">
        <f t="shared" si="2"/>
        <v>118.90821002371642</v>
      </c>
      <c r="E127">
        <v>2.2891655680723399E-4</v>
      </c>
      <c r="F127">
        <f t="shared" si="3"/>
        <v>119.1390856276084</v>
      </c>
    </row>
    <row r="128" spans="1:6">
      <c r="A128" s="1">
        <v>36708</v>
      </c>
      <c r="B128">
        <v>119.25402650948701</v>
      </c>
      <c r="C128">
        <v>-3.74472071416676E-3</v>
      </c>
      <c r="D128" s="3">
        <f t="shared" si="2"/>
        <v>118.69406130716744</v>
      </c>
      <c r="E128">
        <v>-6.1513688415288899E-3</v>
      </c>
      <c r="F128">
        <f t="shared" si="3"/>
        <v>118.40733274842026</v>
      </c>
    </row>
    <row r="129" spans="1:6">
      <c r="A129" s="1">
        <v>36739</v>
      </c>
      <c r="B129">
        <v>117.589432280888</v>
      </c>
      <c r="C129">
        <v>-6.4690909348428197E-3</v>
      </c>
      <c r="D129" s="3">
        <f t="shared" si="2"/>
        <v>118.48256136765097</v>
      </c>
      <c r="E129">
        <v>-3.09074809774756E-3</v>
      </c>
      <c r="F129">
        <f t="shared" si="3"/>
        <v>118.88544235390407</v>
      </c>
    </row>
    <row r="130" spans="1:6">
      <c r="A130" s="1">
        <v>36770</v>
      </c>
      <c r="B130">
        <v>116.226472165091</v>
      </c>
      <c r="C130">
        <v>-2.2835491690784602E-3</v>
      </c>
      <c r="D130" s="3">
        <f t="shared" si="2"/>
        <v>117.32091103051057</v>
      </c>
      <c r="E130">
        <v>-3.25524387881159E-3</v>
      </c>
      <c r="F130">
        <f t="shared" si="3"/>
        <v>117.20665000124271</v>
      </c>
    </row>
    <row r="131" spans="1:6">
      <c r="A131" s="1">
        <v>36800</v>
      </c>
      <c r="B131">
        <v>117.768653926158</v>
      </c>
      <c r="C131" s="3">
        <v>-6.4034604292828495E-5</v>
      </c>
      <c r="D131" s="3">
        <f t="shared" si="2"/>
        <v>116.21902964893755</v>
      </c>
      <c r="E131">
        <v>1.1110146297141901E-3</v>
      </c>
      <c r="F131">
        <f t="shared" si="3"/>
        <v>116.35560147602648</v>
      </c>
    </row>
    <row r="132" spans="1:6">
      <c r="A132" s="1">
        <v>36831</v>
      </c>
      <c r="B132">
        <v>118.44724609018699</v>
      </c>
      <c r="C132">
        <v>1.3848395319655501E-3</v>
      </c>
      <c r="D132" s="3">
        <f t="shared" si="2"/>
        <v>117.93174461374132</v>
      </c>
      <c r="E132">
        <v>-1.34884263388812E-3</v>
      </c>
      <c r="F132">
        <f t="shared" si="3"/>
        <v>117.60980254480678</v>
      </c>
    </row>
    <row r="133" spans="1:6">
      <c r="A133" s="1">
        <v>36861</v>
      </c>
      <c r="B133">
        <v>117.57082721591399</v>
      </c>
      <c r="C133">
        <v>7.0731918094679702E-4</v>
      </c>
      <c r="D133" s="3">
        <f t="shared" ref="D133:D196" si="4">B132*C133+B132</f>
        <v>118.53102609927691</v>
      </c>
      <c r="E133">
        <v>2.26595206186175E-3</v>
      </c>
      <c r="F133">
        <f t="shared" si="3"/>
        <v>118.7156418716869</v>
      </c>
    </row>
    <row r="134" spans="1:6">
      <c r="A134" s="1">
        <v>36892</v>
      </c>
      <c r="B134">
        <v>116.925444720564</v>
      </c>
      <c r="C134">
        <v>-5.3860247135162301E-3</v>
      </c>
      <c r="D134" s="3">
        <f t="shared" si="4"/>
        <v>116.93758783494053</v>
      </c>
      <c r="E134">
        <v>-2.65787728130817E-2</v>
      </c>
      <c r="F134">
        <f t="shared" si="3"/>
        <v>114.44593890989613</v>
      </c>
    </row>
    <row r="135" spans="1:6">
      <c r="A135" s="1">
        <v>36923</v>
      </c>
      <c r="B135">
        <v>115.152265763762</v>
      </c>
      <c r="C135">
        <v>-1.95006281137466E-3</v>
      </c>
      <c r="D135" s="3">
        <f t="shared" si="4"/>
        <v>116.69743275911098</v>
      </c>
      <c r="E135">
        <v>-1.03526411112397E-3</v>
      </c>
      <c r="F135">
        <f t="shared" ref="F135:F198" si="5">B134*E135+B134</f>
        <v>116.8043960039676</v>
      </c>
    </row>
    <row r="136" spans="1:6">
      <c r="A136" s="1">
        <v>36951</v>
      </c>
      <c r="B136">
        <v>114.480624550333</v>
      </c>
      <c r="C136">
        <v>-1.3307019136846E-2</v>
      </c>
      <c r="D136" s="3">
        <f t="shared" si="4"/>
        <v>113.61993235959244</v>
      </c>
      <c r="E136">
        <v>6.97093131020665E-3</v>
      </c>
      <c r="F136">
        <f t="shared" si="5"/>
        <v>115.95498429861586</v>
      </c>
    </row>
    <row r="137" spans="1:6">
      <c r="A137" s="1">
        <v>36982</v>
      </c>
      <c r="B137">
        <v>116.049952307482</v>
      </c>
      <c r="C137">
        <v>-1.5785817056894299E-2</v>
      </c>
      <c r="D137" s="3">
        <f t="shared" si="4"/>
        <v>112.67345435462245</v>
      </c>
      <c r="E137">
        <v>1.68687070254236E-3</v>
      </c>
      <c r="F137">
        <f t="shared" si="5"/>
        <v>114.67373856189572</v>
      </c>
    </row>
    <row r="138" spans="1:6">
      <c r="A138" s="1">
        <v>37012</v>
      </c>
      <c r="B138">
        <v>116.27189347724099</v>
      </c>
      <c r="C138">
        <v>1.2036507017910401E-2</v>
      </c>
      <c r="D138" s="3">
        <f t="shared" si="4"/>
        <v>117.44678837285917</v>
      </c>
      <c r="E138">
        <v>3.4540046472102399E-3</v>
      </c>
      <c r="F138">
        <f t="shared" si="5"/>
        <v>116.45078938206058</v>
      </c>
    </row>
    <row r="139" spans="1:6">
      <c r="A139" s="1">
        <v>37043</v>
      </c>
      <c r="B139">
        <v>117.352914556177</v>
      </c>
      <c r="C139">
        <v>1.27016156911849E-2</v>
      </c>
      <c r="D139" s="3">
        <f t="shared" si="4"/>
        <v>117.7487343838753</v>
      </c>
      <c r="E139">
        <v>3.81143111735582E-3</v>
      </c>
      <c r="F139">
        <f t="shared" si="5"/>
        <v>116.71505579011404</v>
      </c>
    </row>
    <row r="140" spans="1:6">
      <c r="A140" s="1">
        <v>37073</v>
      </c>
      <c r="B140">
        <v>116.730420118925</v>
      </c>
      <c r="C140">
        <v>-6.5807672217488202E-4</v>
      </c>
      <c r="D140" s="3">
        <f t="shared" si="4"/>
        <v>117.27568733482821</v>
      </c>
      <c r="E140">
        <v>3.8451298605650598E-3</v>
      </c>
      <c r="F140">
        <f t="shared" si="5"/>
        <v>117.80415175216129</v>
      </c>
    </row>
    <row r="141" spans="1:6">
      <c r="A141" s="1">
        <v>37104</v>
      </c>
      <c r="B141">
        <v>114.45359215065299</v>
      </c>
      <c r="C141">
        <v>-4.1961539536714502E-3</v>
      </c>
      <c r="D141" s="3">
        <f t="shared" si="4"/>
        <v>116.24060130502924</v>
      </c>
      <c r="E141">
        <v>-5.6997397914528803E-3</v>
      </c>
      <c r="F141">
        <f t="shared" si="5"/>
        <v>116.06508709850014</v>
      </c>
    </row>
    <row r="142" spans="1:6">
      <c r="A142" s="1">
        <v>37135</v>
      </c>
      <c r="B142">
        <v>115.836458863028</v>
      </c>
      <c r="C142">
        <v>-2.7654627338051701E-3</v>
      </c>
      <c r="D142" s="3">
        <f t="shared" si="4"/>
        <v>114.13707500681022</v>
      </c>
      <c r="E142">
        <v>-5.7650837115943397E-3</v>
      </c>
      <c r="F142">
        <f t="shared" si="5"/>
        <v>113.79375761081181</v>
      </c>
    </row>
    <row r="143" spans="1:6">
      <c r="A143" s="1">
        <v>37165</v>
      </c>
      <c r="B143">
        <v>113.36650347942199</v>
      </c>
      <c r="C143">
        <v>4.7572376206517202E-3</v>
      </c>
      <c r="D143" s="3">
        <f t="shared" si="4"/>
        <v>116.38752042297428</v>
      </c>
      <c r="E143">
        <v>-4.3141972273588102E-3</v>
      </c>
      <c r="F143">
        <f t="shared" si="5"/>
        <v>115.33671753337406</v>
      </c>
    </row>
    <row r="144" spans="1:6">
      <c r="A144" s="1">
        <v>37196</v>
      </c>
      <c r="B144">
        <v>114.25178422077499</v>
      </c>
      <c r="C144">
        <v>-1.34860500693321E-2</v>
      </c>
      <c r="D144" s="3">
        <f t="shared" si="4"/>
        <v>111.83763713731339</v>
      </c>
      <c r="E144">
        <v>-1.5921685844659798E-2</v>
      </c>
      <c r="F144">
        <f t="shared" si="5"/>
        <v>111.5615176257151</v>
      </c>
    </row>
    <row r="145" spans="1:6">
      <c r="A145" s="1">
        <v>37226</v>
      </c>
      <c r="B145">
        <v>114.766377457353</v>
      </c>
      <c r="C145">
        <v>-4.72010439261794E-3</v>
      </c>
      <c r="D145" s="3">
        <f t="shared" si="4"/>
        <v>113.71250387221008</v>
      </c>
      <c r="E145">
        <v>6.7869671620428501E-3</v>
      </c>
      <c r="F145">
        <f t="shared" si="5"/>
        <v>115.0272073284862</v>
      </c>
    </row>
    <row r="146" spans="1:6">
      <c r="A146" s="1">
        <v>37257</v>
      </c>
      <c r="B146">
        <v>117.015060837392</v>
      </c>
      <c r="C146">
        <v>5.7892040349542999E-3</v>
      </c>
      <c r="D146" s="3">
        <f t="shared" si="4"/>
        <v>115.43078343280619</v>
      </c>
      <c r="E146">
        <v>2.40823980420827E-2</v>
      </c>
      <c r="F146">
        <f t="shared" si="5"/>
        <v>117.53022704112888</v>
      </c>
    </row>
    <row r="147" spans="1:6">
      <c r="A147" s="1">
        <v>37288</v>
      </c>
      <c r="B147">
        <v>118.241555981088</v>
      </c>
      <c r="C147" s="3">
        <v>2.4945093173300801E-6</v>
      </c>
      <c r="D147" s="3">
        <f t="shared" si="4"/>
        <v>117.01535273255152</v>
      </c>
      <c r="E147">
        <v>-2.21303489524871E-4</v>
      </c>
      <c r="F147">
        <f t="shared" si="5"/>
        <v>116.98916499610172</v>
      </c>
    </row>
    <row r="148" spans="1:6">
      <c r="A148" s="1">
        <v>37316</v>
      </c>
      <c r="B148">
        <v>115.23359965997901</v>
      </c>
      <c r="C148">
        <v>1.7606237903237301E-2</v>
      </c>
      <c r="D148" s="3">
        <f t="shared" si="4"/>
        <v>120.32334494573999</v>
      </c>
      <c r="E148">
        <v>-4.6315841609612102E-4</v>
      </c>
      <c r="F148">
        <f t="shared" si="5"/>
        <v>118.18679140930305</v>
      </c>
    </row>
    <row r="149" spans="1:6">
      <c r="A149" s="1">
        <v>37347</v>
      </c>
      <c r="B149">
        <v>114.15182340732299</v>
      </c>
      <c r="C149">
        <v>-2.3164246231317499E-2</v>
      </c>
      <c r="D149" s="3">
        <f t="shared" si="4"/>
        <v>112.56430018333418</v>
      </c>
      <c r="E149">
        <v>-9.2098731547594001E-3</v>
      </c>
      <c r="F149">
        <f t="shared" si="5"/>
        <v>114.17231282394427</v>
      </c>
    </row>
    <row r="150" spans="1:6">
      <c r="A150" s="1">
        <v>37377</v>
      </c>
      <c r="B150">
        <v>114.35569105917</v>
      </c>
      <c r="C150">
        <v>6.1202296055853297E-3</v>
      </c>
      <c r="D150" s="3">
        <f t="shared" si="4"/>
        <v>114.85045877647204</v>
      </c>
      <c r="E150">
        <v>-9.2084379866719194E-3</v>
      </c>
      <c r="F150">
        <f t="shared" si="5"/>
        <v>113.10066342041114</v>
      </c>
    </row>
    <row r="151" spans="1:6">
      <c r="A151" s="1">
        <v>37408</v>
      </c>
      <c r="B151">
        <v>114.548491910525</v>
      </c>
      <c r="C151">
        <v>-4.3950583785772298E-3</v>
      </c>
      <c r="D151" s="3">
        <f t="shared" si="4"/>
        <v>113.85309112104241</v>
      </c>
      <c r="E151">
        <v>-3.0207647942006501E-3</v>
      </c>
      <c r="F151">
        <f t="shared" si="5"/>
        <v>114.01024941360197</v>
      </c>
    </row>
    <row r="152" spans="1:6">
      <c r="A152" s="1">
        <v>37438</v>
      </c>
      <c r="B152">
        <v>113.45599846794499</v>
      </c>
      <c r="C152">
        <v>-1.25972717069089E-3</v>
      </c>
      <c r="D152" s="3">
        <f t="shared" si="4"/>
        <v>114.40419206290365</v>
      </c>
      <c r="E152">
        <v>-1.2491942616179501E-3</v>
      </c>
      <c r="F152">
        <f t="shared" si="5"/>
        <v>114.40539859175338</v>
      </c>
    </row>
    <row r="153" spans="1:6">
      <c r="A153" s="1">
        <v>37469</v>
      </c>
      <c r="B153">
        <v>115.342367843928</v>
      </c>
      <c r="C153">
        <v>-1.6200059326365499E-3</v>
      </c>
      <c r="D153" s="3">
        <f t="shared" si="4"/>
        <v>113.27219907733372</v>
      </c>
      <c r="E153">
        <v>-1.7226506024598999E-3</v>
      </c>
      <c r="F153">
        <f t="shared" si="5"/>
        <v>113.2605534238315</v>
      </c>
    </row>
    <row r="154" spans="1:6">
      <c r="A154" s="1">
        <v>37500</v>
      </c>
      <c r="B154">
        <v>113.042916983048</v>
      </c>
      <c r="C154">
        <v>-6.6743924980983095E-4</v>
      </c>
      <c r="D154" s="3">
        <f t="shared" si="4"/>
        <v>115.26538382046296</v>
      </c>
      <c r="E154">
        <v>-5.7532754726707903E-4</v>
      </c>
      <c r="F154">
        <f t="shared" si="5"/>
        <v>115.27600820234038</v>
      </c>
    </row>
    <row r="155" spans="1:6">
      <c r="A155" s="1">
        <v>37530</v>
      </c>
      <c r="B155">
        <v>113.02150711781201</v>
      </c>
      <c r="C155">
        <v>1.6754938988014999E-3</v>
      </c>
      <c r="D155" s="3">
        <f t="shared" si="4"/>
        <v>113.23231970075582</v>
      </c>
      <c r="E155">
        <v>6.5392856486141604E-3</v>
      </c>
      <c r="F155">
        <f t="shared" si="5"/>
        <v>113.78213690775273</v>
      </c>
    </row>
    <row r="156" spans="1:6">
      <c r="A156" s="1">
        <v>37561</v>
      </c>
      <c r="B156">
        <v>112.90706313331999</v>
      </c>
      <c r="C156">
        <v>-3.3000796101987301E-3</v>
      </c>
      <c r="D156" s="3">
        <f t="shared" si="4"/>
        <v>112.64852714665858</v>
      </c>
      <c r="E156">
        <v>-6.1547914519906001E-3</v>
      </c>
      <c r="F156">
        <f t="shared" si="5"/>
        <v>112.32588331191221</v>
      </c>
    </row>
    <row r="157" spans="1:6">
      <c r="A157" s="1">
        <v>37591</v>
      </c>
      <c r="B157">
        <v>112.15676019829699</v>
      </c>
      <c r="C157">
        <v>-9.4236396253108892E-3</v>
      </c>
      <c r="D157" s="3">
        <f t="shared" si="4"/>
        <v>111.84306765919936</v>
      </c>
      <c r="E157">
        <v>-1.1432719416916299E-2</v>
      </c>
      <c r="F157">
        <f t="shared" si="5"/>
        <v>111.61622836032869</v>
      </c>
    </row>
    <row r="158" spans="1:6">
      <c r="A158" s="1">
        <v>37622</v>
      </c>
      <c r="B158">
        <v>112.642023848504</v>
      </c>
      <c r="C158">
        <v>-2.31865011155605E-2</v>
      </c>
      <c r="D158" s="3">
        <f t="shared" si="4"/>
        <v>109.55623735284153</v>
      </c>
      <c r="E158">
        <v>-2.5600534863769999E-3</v>
      </c>
      <c r="F158">
        <f t="shared" si="5"/>
        <v>111.86963289333059</v>
      </c>
    </row>
    <row r="159" spans="1:6">
      <c r="A159" s="1">
        <v>37653</v>
      </c>
      <c r="B159">
        <v>110.595844425519</v>
      </c>
      <c r="C159">
        <v>-2.3148478940129202E-3</v>
      </c>
      <c r="D159" s="3">
        <f t="shared" si="4"/>
        <v>112.38127469682094</v>
      </c>
      <c r="E159">
        <v>-4.9763494171202096E-3</v>
      </c>
      <c r="F159">
        <f t="shared" si="5"/>
        <v>112.08147777878226</v>
      </c>
    </row>
    <row r="160" spans="1:6">
      <c r="A160" s="1">
        <v>37681</v>
      </c>
      <c r="B160">
        <v>110.349269596704</v>
      </c>
      <c r="C160">
        <v>1.21071422472596E-2</v>
      </c>
      <c r="D160" s="3">
        <f t="shared" si="4"/>
        <v>111.93484404593455</v>
      </c>
      <c r="E160">
        <v>-5.85780246183276E-3</v>
      </c>
      <c r="F160">
        <f t="shared" si="5"/>
        <v>109.94799581577473</v>
      </c>
    </row>
    <row r="161" spans="1:6">
      <c r="A161" s="1">
        <v>37712</v>
      </c>
      <c r="B161">
        <v>109.912428955975</v>
      </c>
      <c r="C161">
        <v>1.12240013550035E-4</v>
      </c>
      <c r="D161" s="3">
        <f t="shared" si="4"/>
        <v>110.36165520021878</v>
      </c>
      <c r="E161">
        <v>2.18936125747859E-3</v>
      </c>
      <c r="F161">
        <f t="shared" si="5"/>
        <v>110.59086401235008</v>
      </c>
    </row>
    <row r="162" spans="1:6">
      <c r="A162" s="1">
        <v>37742</v>
      </c>
      <c r="B162">
        <v>111.834067805779</v>
      </c>
      <c r="C162">
        <v>-1.3623307459056299E-3</v>
      </c>
      <c r="D162" s="3">
        <f t="shared" si="4"/>
        <v>109.76269187465111</v>
      </c>
      <c r="E162">
        <v>-1.9762367010116499E-3</v>
      </c>
      <c r="F162">
        <f t="shared" si="5"/>
        <v>109.69521597997488</v>
      </c>
    </row>
    <row r="163" spans="1:6">
      <c r="A163" s="1">
        <v>37773</v>
      </c>
      <c r="B163">
        <v>111.51182159727701</v>
      </c>
      <c r="C163">
        <v>2.63896537944674E-4</v>
      </c>
      <c r="D163" s="3">
        <f t="shared" si="4"/>
        <v>111.86358042909721</v>
      </c>
      <c r="E163">
        <v>-1.1993186781182801E-3</v>
      </c>
      <c r="F163">
        <f t="shared" si="5"/>
        <v>111.69994311940958</v>
      </c>
    </row>
    <row r="164" spans="1:6">
      <c r="A164" s="1">
        <v>37803</v>
      </c>
      <c r="B164">
        <v>111.04852465678999</v>
      </c>
      <c r="C164">
        <v>-1.2066469935234599E-4</v>
      </c>
      <c r="D164" s="3">
        <f t="shared" si="4"/>
        <v>111.49836605684973</v>
      </c>
      <c r="E164">
        <v>3.7499921745620597E-4</v>
      </c>
      <c r="F164">
        <f t="shared" si="5"/>
        <v>111.5536384431131</v>
      </c>
    </row>
    <row r="165" spans="1:6">
      <c r="A165" s="1">
        <v>37834</v>
      </c>
      <c r="B165">
        <v>112.258465462888</v>
      </c>
      <c r="C165">
        <v>1.03472953196614E-3</v>
      </c>
      <c r="D165" s="3">
        <f t="shared" si="4"/>
        <v>111.16342984473364</v>
      </c>
      <c r="E165">
        <v>3.8809180841781199E-4</v>
      </c>
      <c r="F165">
        <f t="shared" si="5"/>
        <v>111.09162167954618</v>
      </c>
    </row>
    <row r="166" spans="1:6">
      <c r="A166" s="1">
        <v>37865</v>
      </c>
      <c r="B166">
        <v>110.312501297092</v>
      </c>
      <c r="C166">
        <v>1.6911144484765801E-4</v>
      </c>
      <c r="D166" s="3">
        <f t="shared" si="4"/>
        <v>112.27744965417881</v>
      </c>
      <c r="E166">
        <v>3.2008520793169699E-4</v>
      </c>
      <c r="F166">
        <f t="shared" si="5"/>
        <v>112.29439773714778</v>
      </c>
    </row>
    <row r="167" spans="1:6">
      <c r="A167" s="1">
        <v>37895</v>
      </c>
      <c r="B167">
        <v>111.663582784365</v>
      </c>
      <c r="C167">
        <v>-5.3399605676531696E-3</v>
      </c>
      <c r="D167" s="3">
        <f t="shared" si="4"/>
        <v>109.72343689004634</v>
      </c>
      <c r="E167">
        <v>-1.57585879787802E-3</v>
      </c>
      <c r="F167">
        <f t="shared" si="5"/>
        <v>110.13866437140705</v>
      </c>
    </row>
    <row r="168" spans="1:6">
      <c r="A168" s="1">
        <v>37926</v>
      </c>
      <c r="B168">
        <v>110.05649254289099</v>
      </c>
      <c r="C168">
        <v>-1.3835157733410499E-3</v>
      </c>
      <c r="D168" s="3">
        <f t="shared" si="4"/>
        <v>111.50909445627506</v>
      </c>
      <c r="E168">
        <v>-2.3264284245669798E-3</v>
      </c>
      <c r="F168">
        <f t="shared" si="5"/>
        <v>111.40380545138648</v>
      </c>
    </row>
    <row r="169" spans="1:6">
      <c r="A169" s="1">
        <v>37956</v>
      </c>
      <c r="B169">
        <v>110.535985786409</v>
      </c>
      <c r="C169">
        <v>2.6283196639269499E-3</v>
      </c>
      <c r="D169" s="3">
        <f t="shared" si="4"/>
        <v>110.34575618638431</v>
      </c>
      <c r="E169">
        <v>-1.9286901806481101E-4</v>
      </c>
      <c r="F169">
        <f t="shared" si="5"/>
        <v>110.03526605524259</v>
      </c>
    </row>
    <row r="170" spans="1:6">
      <c r="A170" s="1">
        <v>37987</v>
      </c>
      <c r="B170">
        <v>111.953893327247</v>
      </c>
      <c r="C170">
        <v>-1.1790533608291201E-4</v>
      </c>
      <c r="D170" s="3">
        <f t="shared" si="4"/>
        <v>110.52295300385559</v>
      </c>
      <c r="E170">
        <v>0.28443586826324402</v>
      </c>
      <c r="F170">
        <f t="shared" si="5"/>
        <v>141.97638487789985</v>
      </c>
    </row>
    <row r="171" spans="1:6">
      <c r="A171" s="1">
        <v>38018</v>
      </c>
      <c r="B171">
        <v>111.189881584332</v>
      </c>
      <c r="C171">
        <v>-2.05397533136419E-4</v>
      </c>
      <c r="D171" s="3">
        <f t="shared" si="4"/>
        <v>111.93089827373257</v>
      </c>
      <c r="E171">
        <v>4.20805066823959E-2</v>
      </c>
      <c r="F171">
        <f t="shared" si="5"/>
        <v>116.66496988352446</v>
      </c>
    </row>
    <row r="172" spans="1:6">
      <c r="A172" s="1">
        <v>38047</v>
      </c>
      <c r="B172">
        <v>108.959260130139</v>
      </c>
      <c r="C172">
        <v>-1.3736990513279999E-4</v>
      </c>
      <c r="D172" s="3">
        <f t="shared" si="4"/>
        <v>111.17460744084703</v>
      </c>
      <c r="E172">
        <v>-0.32697704434394798</v>
      </c>
      <c r="F172">
        <f t="shared" si="5"/>
        <v>74.833342742933553</v>
      </c>
    </row>
    <row r="173" spans="1:6">
      <c r="A173" s="1">
        <v>38078</v>
      </c>
      <c r="B173">
        <v>109.188984277841</v>
      </c>
      <c r="C173">
        <v>-8.3694709464907594E-3</v>
      </c>
      <c r="D173" s="3">
        <f t="shared" si="4"/>
        <v>108.04732876812868</v>
      </c>
      <c r="E173">
        <v>-7.3577421717345697E-3</v>
      </c>
      <c r="F173">
        <f t="shared" si="5"/>
        <v>108.15756598687848</v>
      </c>
    </row>
    <row r="174" spans="1:6">
      <c r="A174" s="1">
        <v>38108</v>
      </c>
      <c r="B174">
        <v>108.020885974591</v>
      </c>
      <c r="C174">
        <v>-6.7378100939095003E-3</v>
      </c>
      <c r="D174" s="3">
        <f t="shared" si="4"/>
        <v>108.45328963743003</v>
      </c>
      <c r="E174">
        <v>-6.8851588293910001E-3</v>
      </c>
      <c r="F174">
        <f t="shared" si="5"/>
        <v>108.43720077866818</v>
      </c>
    </row>
    <row r="175" spans="1:6">
      <c r="A175" s="1">
        <v>38139</v>
      </c>
      <c r="B175">
        <v>108.554427665967</v>
      </c>
      <c r="C175">
        <v>-4.1638789698481499E-3</v>
      </c>
      <c r="D175" s="3">
        <f t="shared" si="4"/>
        <v>107.57110007917703</v>
      </c>
      <c r="E175">
        <v>-5.0282594747841297E-3</v>
      </c>
      <c r="F175">
        <f t="shared" si="5"/>
        <v>107.47772893121468</v>
      </c>
    </row>
    <row r="176" spans="1:6">
      <c r="A176" s="1">
        <v>38169</v>
      </c>
      <c r="B176">
        <v>108.82165916320299</v>
      </c>
      <c r="C176">
        <v>-3.79848736338317E-3</v>
      </c>
      <c r="D176" s="3">
        <f t="shared" si="4"/>
        <v>108.14208504423853</v>
      </c>
      <c r="E176">
        <v>-1.7020620871335201E-3</v>
      </c>
      <c r="F176">
        <f t="shared" si="5"/>
        <v>108.36966129024627</v>
      </c>
    </row>
    <row r="177" spans="1:6">
      <c r="A177" s="1">
        <v>38200</v>
      </c>
      <c r="B177">
        <v>107.508768366515</v>
      </c>
      <c r="C177">
        <v>-1.5111198881641E-3</v>
      </c>
      <c r="D177" s="3">
        <f t="shared" si="4"/>
        <v>108.65721658977846</v>
      </c>
      <c r="E177">
        <v>-4.9377800896763802E-3</v>
      </c>
      <c r="F177">
        <f t="shared" si="5"/>
        <v>108.28432174126138</v>
      </c>
    </row>
    <row r="178" spans="1:6">
      <c r="A178" s="1">
        <v>38231</v>
      </c>
      <c r="B178">
        <v>107.391151791024</v>
      </c>
      <c r="C178">
        <v>-9.8067673388868505E-4</v>
      </c>
      <c r="D178" s="3">
        <f t="shared" si="4"/>
        <v>107.40333701868893</v>
      </c>
      <c r="E178">
        <v>3.4955810406245199E-4</v>
      </c>
      <c r="F178">
        <f t="shared" si="5"/>
        <v>107.54634892775529</v>
      </c>
    </row>
    <row r="179" spans="1:6">
      <c r="A179" s="1">
        <v>38261</v>
      </c>
      <c r="B179">
        <v>106.503121628076</v>
      </c>
      <c r="C179">
        <v>-3.0690042302012398E-2</v>
      </c>
      <c r="D179" s="3">
        <f t="shared" si="4"/>
        <v>104.09531279969563</v>
      </c>
      <c r="E179">
        <v>-1.1604841798543901E-2</v>
      </c>
      <c r="F179">
        <f t="shared" si="5"/>
        <v>106.14489446392575</v>
      </c>
    </row>
    <row r="180" spans="1:6">
      <c r="A180" s="1">
        <v>38292</v>
      </c>
      <c r="B180">
        <v>105.77431020693101</v>
      </c>
      <c r="C180">
        <v>-8.4746494889259297E-2</v>
      </c>
      <c r="D180" s="3">
        <f t="shared" si="4"/>
        <v>97.477355375332095</v>
      </c>
      <c r="E180">
        <v>-2.3091845214366899E-2</v>
      </c>
      <c r="F180">
        <f t="shared" si="5"/>
        <v>104.04376802859358</v>
      </c>
    </row>
    <row r="181" spans="1:6">
      <c r="A181" s="1">
        <v>38322</v>
      </c>
      <c r="B181">
        <v>104.372752070787</v>
      </c>
      <c r="C181">
        <v>9.3350358307361603E-2</v>
      </c>
      <c r="D181" s="3">
        <f t="shared" si="4"/>
        <v>115.64837996446204</v>
      </c>
      <c r="E181">
        <v>1.26105081290006E-2</v>
      </c>
      <c r="F181">
        <f t="shared" si="5"/>
        <v>107.10817800563494</v>
      </c>
    </row>
    <row r="182" spans="1:6">
      <c r="A182" s="1">
        <v>38353</v>
      </c>
      <c r="B182">
        <v>103.649743808339</v>
      </c>
      <c r="C182">
        <v>-6.2963244272395903E-4</v>
      </c>
      <c r="D182" s="3">
        <f t="shared" si="4"/>
        <v>104.30703559994684</v>
      </c>
      <c r="E182">
        <v>-5.6991521269083002E-2</v>
      </c>
      <c r="F182">
        <f t="shared" si="5"/>
        <v>98.424390151232018</v>
      </c>
    </row>
    <row r="183" spans="1:6">
      <c r="A183" s="1">
        <v>38384</v>
      </c>
      <c r="B183">
        <v>102.40130441303801</v>
      </c>
      <c r="C183">
        <v>-1.34605355560779E-2</v>
      </c>
      <c r="D183" s="3">
        <f t="shared" si="4"/>
        <v>102.25456274642849</v>
      </c>
      <c r="E183">
        <v>1.99966263025999E-2</v>
      </c>
      <c r="F183">
        <f t="shared" si="5"/>
        <v>105.72238900163457</v>
      </c>
    </row>
    <row r="184" spans="1:6">
      <c r="A184" s="1">
        <v>38412</v>
      </c>
      <c r="B184">
        <v>102.78547096951201</v>
      </c>
      <c r="C184">
        <v>-1.0895402170717701E-2</v>
      </c>
      <c r="D184" s="3">
        <f t="shared" si="4"/>
        <v>101.28560101865186</v>
      </c>
      <c r="E184">
        <v>1.20093245059251E-2</v>
      </c>
      <c r="F184">
        <f t="shared" si="5"/>
        <v>103.6310749075642</v>
      </c>
    </row>
    <row r="185" spans="1:6">
      <c r="A185" s="1">
        <v>38443</v>
      </c>
      <c r="B185">
        <v>102.143122003372</v>
      </c>
      <c r="C185">
        <v>4.4096834608353599E-4</v>
      </c>
      <c r="D185" s="3">
        <f t="shared" si="4"/>
        <v>102.83079610864685</v>
      </c>
      <c r="E185">
        <v>3.8762076292186902E-3</v>
      </c>
      <c r="F185">
        <f t="shared" si="5"/>
        <v>103.18388879625687</v>
      </c>
    </row>
    <row r="186" spans="1:6">
      <c r="A186" s="1">
        <v>38473</v>
      </c>
      <c r="B186">
        <v>100.645258889603</v>
      </c>
      <c r="C186">
        <v>-7.7040377072989897E-3</v>
      </c>
      <c r="D186" s="3">
        <f t="shared" si="4"/>
        <v>101.35620753991678</v>
      </c>
      <c r="E186">
        <v>8.7646878091618397E-4</v>
      </c>
      <c r="F186">
        <f t="shared" si="5"/>
        <v>102.23264726099328</v>
      </c>
    </row>
    <row r="187" spans="1:6">
      <c r="A187" s="1">
        <v>38504</v>
      </c>
      <c r="B187">
        <v>103.10857119549</v>
      </c>
      <c r="C187">
        <v>-2.3007155396044198E-3</v>
      </c>
      <c r="D187" s="3">
        <f t="shared" si="4"/>
        <v>100.41370277848819</v>
      </c>
      <c r="E187">
        <v>-1.43164610490202E-2</v>
      </c>
      <c r="F187">
        <f t="shared" si="5"/>
        <v>99.20437496094145</v>
      </c>
    </row>
    <row r="188" spans="1:6">
      <c r="A188" s="1">
        <v>38534</v>
      </c>
      <c r="B188">
        <v>101.19593438864401</v>
      </c>
      <c r="C188">
        <v>4.1470403084531399E-4</v>
      </c>
      <c r="D188" s="3">
        <f t="shared" si="4"/>
        <v>103.15133073557948</v>
      </c>
      <c r="E188">
        <v>-9.1475686058401992E-3</v>
      </c>
      <c r="F188">
        <f t="shared" si="5"/>
        <v>102.16537846662909</v>
      </c>
    </row>
    <row r="189" spans="1:6">
      <c r="A189" s="1">
        <v>38565</v>
      </c>
      <c r="B189">
        <v>100.795244409589</v>
      </c>
      <c r="C189">
        <v>-2.7662862557917799E-3</v>
      </c>
      <c r="D189" s="3">
        <f t="shared" si="4"/>
        <v>100.9159974662027</v>
      </c>
      <c r="E189">
        <v>-1.29544350784271E-3</v>
      </c>
      <c r="F189">
        <f t="shared" si="5"/>
        <v>101.06484077242015</v>
      </c>
    </row>
    <row r="190" spans="1:6">
      <c r="A190" s="1">
        <v>38596</v>
      </c>
      <c r="B190">
        <v>101.919631640181</v>
      </c>
      <c r="C190">
        <v>-4.1624335572123502E-3</v>
      </c>
      <c r="D190" s="3">
        <f t="shared" si="4"/>
        <v>100.37569090185112</v>
      </c>
      <c r="E190">
        <v>3.9289966225623998E-3</v>
      </c>
      <c r="F190">
        <f t="shared" si="5"/>
        <v>101.19126858444463</v>
      </c>
    </row>
    <row r="191" spans="1:6">
      <c r="A191" s="1">
        <v>38626</v>
      </c>
      <c r="B191">
        <v>100.922659125983</v>
      </c>
      <c r="C191">
        <v>1.28005776787176E-4</v>
      </c>
      <c r="D191" s="3">
        <f t="shared" si="4"/>
        <v>101.93267794179896</v>
      </c>
      <c r="E191" s="3">
        <v>3.10907853418029E-6</v>
      </c>
      <c r="F191">
        <f t="shared" si="5"/>
        <v>101.91994851631993</v>
      </c>
    </row>
    <row r="192" spans="1:6">
      <c r="A192" s="1">
        <v>38657</v>
      </c>
      <c r="B192">
        <v>101.82313021700899</v>
      </c>
      <c r="C192" s="3">
        <v>4.4856893509859199E-5</v>
      </c>
      <c r="D192" s="3">
        <f t="shared" si="4"/>
        <v>100.92718620295615</v>
      </c>
      <c r="E192" s="3">
        <v>6.61212179693393E-5</v>
      </c>
      <c r="F192">
        <f t="shared" si="5"/>
        <v>100.92933225512512</v>
      </c>
    </row>
    <row r="193" spans="1:6">
      <c r="A193" s="1">
        <v>38687</v>
      </c>
      <c r="B193">
        <v>101.23123108319101</v>
      </c>
      <c r="C193" s="3">
        <v>4.4973527110414498E-5</v>
      </c>
      <c r="D193" s="3">
        <f t="shared" si="4"/>
        <v>101.82770956231627</v>
      </c>
      <c r="E193">
        <v>1.4860588998999401E-4</v>
      </c>
      <c r="F193">
        <f t="shared" si="5"/>
        <v>101.83826173389646</v>
      </c>
    </row>
    <row r="194" spans="1:6">
      <c r="A194" s="1">
        <v>38718</v>
      </c>
      <c r="B194">
        <v>101.735841490251</v>
      </c>
      <c r="C194">
        <v>-1.4017260400578301E-4</v>
      </c>
      <c r="D194" s="3">
        <f t="shared" si="4"/>
        <v>101.21704123792337</v>
      </c>
      <c r="E194">
        <v>6.2922533834353003E-4</v>
      </c>
      <c r="F194">
        <f t="shared" si="5"/>
        <v>101.29492833882026</v>
      </c>
    </row>
    <row r="195" spans="1:6">
      <c r="A195" s="1">
        <v>38749</v>
      </c>
      <c r="B195">
        <v>100.16248208648101</v>
      </c>
      <c r="C195">
        <v>3.7512972485273998E-3</v>
      </c>
      <c r="D195" s="3">
        <f t="shared" si="4"/>
        <v>102.11748287251001</v>
      </c>
      <c r="E195">
        <v>1.70577957760542E-3</v>
      </c>
      <c r="F195">
        <f t="shared" si="5"/>
        <v>101.90938041097557</v>
      </c>
    </row>
    <row r="196" spans="1:6">
      <c r="A196" s="1">
        <v>38777</v>
      </c>
      <c r="B196">
        <v>103.356107238607</v>
      </c>
      <c r="C196">
        <v>5.8239564532414003E-4</v>
      </c>
      <c r="D196" s="3">
        <f t="shared" si="4"/>
        <v>100.22081627987303</v>
      </c>
      <c r="E196">
        <v>1.85851566493511E-3</v>
      </c>
      <c r="F196">
        <f t="shared" si="5"/>
        <v>100.34863562847751</v>
      </c>
    </row>
    <row r="197" spans="1:6">
      <c r="A197" s="1">
        <v>38808</v>
      </c>
      <c r="B197">
        <v>102.80740173903</v>
      </c>
      <c r="C197">
        <v>5.1644663326442198E-3</v>
      </c>
      <c r="D197" s="3">
        <f t="shared" ref="D197:D260" si="6">B196*C197+B196</f>
        <v>103.88988637471395</v>
      </c>
      <c r="E197">
        <v>2.80853081494569E-3</v>
      </c>
      <c r="F197">
        <f t="shared" si="5"/>
        <v>103.64638605069945</v>
      </c>
    </row>
    <row r="198" spans="1:6">
      <c r="A198" s="1">
        <v>38838</v>
      </c>
      <c r="B198">
        <v>102.73763633605201</v>
      </c>
      <c r="C198">
        <v>5.6315702386200402E-3</v>
      </c>
      <c r="D198" s="3">
        <f t="shared" si="6"/>
        <v>103.38636884297337</v>
      </c>
      <c r="E198">
        <v>5.7374406605958904E-3</v>
      </c>
      <c r="F198">
        <f t="shared" si="5"/>
        <v>103.39725310597773</v>
      </c>
    </row>
    <row r="199" spans="1:6">
      <c r="A199" s="1">
        <v>38869</v>
      </c>
      <c r="B199">
        <v>103.951859852768</v>
      </c>
      <c r="C199">
        <v>3.00640449859201E-3</v>
      </c>
      <c r="D199" s="3">
        <f t="shared" si="6"/>
        <v>103.04650722810742</v>
      </c>
      <c r="E199">
        <v>5.25646889582276E-3</v>
      </c>
      <c r="F199">
        <f t="shared" ref="F199:F262" si="7">B198*E199+B198</f>
        <v>103.27767352588282</v>
      </c>
    </row>
    <row r="200" spans="1:6">
      <c r="A200" s="1">
        <v>38899</v>
      </c>
      <c r="B200">
        <v>101.868540016924</v>
      </c>
      <c r="C200">
        <v>-4.5833055628463599E-4</v>
      </c>
      <c r="D200" s="3">
        <f t="shared" si="6"/>
        <v>103.90421553901486</v>
      </c>
      <c r="E200">
        <v>-5.2833213703706795E-4</v>
      </c>
      <c r="F200">
        <f t="shared" si="7"/>
        <v>103.896938744503</v>
      </c>
    </row>
    <row r="201" spans="1:6">
      <c r="A201" s="1">
        <v>38930</v>
      </c>
      <c r="B201">
        <v>103.959390441094</v>
      </c>
      <c r="C201">
        <v>-9.6385995857417497E-4</v>
      </c>
      <c r="D201" s="3">
        <f t="shared" si="6"/>
        <v>101.77035301016328</v>
      </c>
      <c r="E201">
        <v>-4.0294294012710398E-4</v>
      </c>
      <c r="F201">
        <f t="shared" si="7"/>
        <v>101.82749280790313</v>
      </c>
    </row>
    <row r="202" spans="1:6">
      <c r="A202" s="1">
        <v>38961</v>
      </c>
      <c r="B202">
        <v>103.088978988571</v>
      </c>
      <c r="C202">
        <v>-4.5353945461101797E-4</v>
      </c>
      <c r="D202" s="3">
        <f t="shared" si="6"/>
        <v>103.91224075585166</v>
      </c>
      <c r="E202">
        <v>-9.4445486320182605E-4</v>
      </c>
      <c r="F202">
        <f t="shared" si="7"/>
        <v>103.86120548921642</v>
      </c>
    </row>
    <row r="203" spans="1:6">
      <c r="A203" s="1">
        <v>38991</v>
      </c>
      <c r="B203">
        <v>102.93029825279299</v>
      </c>
      <c r="C203">
        <v>-1.7128972336649801E-2</v>
      </c>
      <c r="D203" s="3">
        <f t="shared" si="6"/>
        <v>101.32317071926229</v>
      </c>
      <c r="E203">
        <v>3.14071704633533E-3</v>
      </c>
      <c r="F203">
        <f t="shared" si="7"/>
        <v>103.41275230216971</v>
      </c>
    </row>
    <row r="204" spans="1:6">
      <c r="A204" s="1">
        <v>39022</v>
      </c>
      <c r="B204">
        <v>103.39975554874501</v>
      </c>
      <c r="C204">
        <v>-1.1012890376150599E-2</v>
      </c>
      <c r="D204" s="3">
        <f t="shared" si="6"/>
        <v>101.7967381617505</v>
      </c>
      <c r="E204">
        <v>5.8991783298552002E-3</v>
      </c>
      <c r="F204">
        <f t="shared" si="7"/>
        <v>103.5375024377314</v>
      </c>
    </row>
    <row r="205" spans="1:6">
      <c r="A205" s="1">
        <v>39052</v>
      </c>
      <c r="B205">
        <v>106.430726846444</v>
      </c>
      <c r="C205">
        <v>4.0508139878511401E-2</v>
      </c>
      <c r="D205" s="3">
        <f t="shared" si="6"/>
        <v>107.58828730991745</v>
      </c>
      <c r="E205">
        <v>3.32638435065746E-3</v>
      </c>
      <c r="F205">
        <f t="shared" si="7"/>
        <v>103.74370287746416</v>
      </c>
    </row>
    <row r="206" spans="1:6">
      <c r="A206" s="1">
        <v>39083</v>
      </c>
      <c r="B206">
        <v>103.983482872512</v>
      </c>
      <c r="C206">
        <v>3.6584341432899202E-3</v>
      </c>
      <c r="D206" s="3">
        <f t="shared" si="6"/>
        <v>106.8200966514342</v>
      </c>
      <c r="E206">
        <v>1.55800895299762E-4</v>
      </c>
      <c r="F206">
        <f t="shared" si="7"/>
        <v>106.44730884897409</v>
      </c>
    </row>
    <row r="207" spans="1:6">
      <c r="A207" s="1">
        <v>39114</v>
      </c>
      <c r="B207">
        <v>106.468209165939</v>
      </c>
      <c r="C207">
        <v>2.2256386000662999E-3</v>
      </c>
      <c r="D207" s="3">
        <f t="shared" si="6"/>
        <v>104.2149125257624</v>
      </c>
      <c r="E207">
        <v>3.91117122489959E-4</v>
      </c>
      <c r="F207">
        <f t="shared" si="7"/>
        <v>104.02415259311958</v>
      </c>
    </row>
    <row r="208" spans="1:6">
      <c r="A208" s="1">
        <v>39142</v>
      </c>
      <c r="B208">
        <v>104.81515852773499</v>
      </c>
      <c r="C208">
        <v>2.0967326126992698E-3</v>
      </c>
      <c r="D208" s="3">
        <f t="shared" si="6"/>
        <v>106.69144453231291</v>
      </c>
      <c r="E208">
        <v>7.4338880367576998E-3</v>
      </c>
      <c r="F208">
        <f t="shared" si="7"/>
        <v>107.25968191235269</v>
      </c>
    </row>
    <row r="209" spans="1:6">
      <c r="A209" s="1">
        <v>39173</v>
      </c>
      <c r="B209">
        <v>103.607627839655</v>
      </c>
      <c r="C209">
        <v>-8.0841814633458799E-4</v>
      </c>
      <c r="D209" s="3">
        <f t="shared" si="6"/>
        <v>104.73042405157024</v>
      </c>
      <c r="E209">
        <v>-1.6344819450750899E-3</v>
      </c>
      <c r="F209">
        <f t="shared" si="7"/>
        <v>104.64384004355122</v>
      </c>
    </row>
    <row r="210" spans="1:6">
      <c r="A210" s="1">
        <v>39203</v>
      </c>
      <c r="B210">
        <v>104.27524860806101</v>
      </c>
      <c r="C210">
        <v>-1.32504729554057E-2</v>
      </c>
      <c r="D210" s="3">
        <f t="shared" si="6"/>
        <v>102.2347777689919</v>
      </c>
      <c r="E210">
        <v>-2.8212179895490399E-3</v>
      </c>
      <c r="F210">
        <f t="shared" si="7"/>
        <v>103.31532813613926</v>
      </c>
    </row>
    <row r="211" spans="1:6">
      <c r="A211" s="1">
        <v>39234</v>
      </c>
      <c r="B211">
        <v>104.993891090901</v>
      </c>
      <c r="C211">
        <v>6.4488649368286098E-3</v>
      </c>
      <c r="D211" s="3">
        <f t="shared" si="6"/>
        <v>104.94770560258861</v>
      </c>
      <c r="E211">
        <v>-3.1543257646262598E-3</v>
      </c>
      <c r="F211">
        <f t="shared" si="7"/>
        <v>103.94633050476379</v>
      </c>
    </row>
    <row r="212" spans="1:6">
      <c r="A212" s="1">
        <v>39264</v>
      </c>
      <c r="B212">
        <v>100.38268350375699</v>
      </c>
      <c r="C212">
        <v>-3.6389473825693103E-2</v>
      </c>
      <c r="D212" s="3">
        <f t="shared" si="6"/>
        <v>101.17321863919099</v>
      </c>
      <c r="E212">
        <v>-0.12588554620742701</v>
      </c>
      <c r="F212">
        <f t="shared" si="7"/>
        <v>91.776677762479821</v>
      </c>
    </row>
    <row r="213" spans="1:6">
      <c r="A213" s="1">
        <v>39295</v>
      </c>
      <c r="B213">
        <v>100.37449201166</v>
      </c>
      <c r="C213">
        <v>3.6424916237592697E-2</v>
      </c>
      <c r="D213" s="3">
        <f t="shared" si="6"/>
        <v>104.03911434208612</v>
      </c>
      <c r="E213">
        <v>1.9080048426985699E-2</v>
      </c>
      <c r="F213">
        <f t="shared" si="7"/>
        <v>102.29798996623946</v>
      </c>
    </row>
    <row r="214" spans="1:6">
      <c r="A214" s="1">
        <v>39326</v>
      </c>
      <c r="B214">
        <v>103.52745023921401</v>
      </c>
      <c r="C214">
        <v>-2.78813056647777E-2</v>
      </c>
      <c r="D214" s="3">
        <f t="shared" si="6"/>
        <v>97.575920118936111</v>
      </c>
      <c r="E214">
        <v>7.8959636390209198E-2</v>
      </c>
      <c r="F214">
        <f t="shared" si="7"/>
        <v>108.30002540375263</v>
      </c>
    </row>
    <row r="215" spans="1:6">
      <c r="A215" s="1">
        <v>39356</v>
      </c>
      <c r="B215">
        <v>103.253422287296</v>
      </c>
      <c r="C215">
        <v>2.6335192378610299E-3</v>
      </c>
      <c r="D215" s="3">
        <f t="shared" si="6"/>
        <v>103.80009177106568</v>
      </c>
      <c r="E215">
        <v>3.1847499776631498E-3</v>
      </c>
      <c r="F215">
        <f t="shared" si="7"/>
        <v>103.85715928405087</v>
      </c>
    </row>
    <row r="216" spans="1:6">
      <c r="A216" s="1">
        <v>39387</v>
      </c>
      <c r="B216">
        <v>102.711019293221</v>
      </c>
      <c r="C216">
        <v>3.6873014178126998E-3</v>
      </c>
      <c r="D216" s="3">
        <f t="shared" si="6"/>
        <v>103.63414877768996</v>
      </c>
      <c r="E216">
        <v>-7.76478322222828E-3</v>
      </c>
      <c r="F216">
        <f t="shared" si="7"/>
        <v>102.45168184628196</v>
      </c>
    </row>
    <row r="217" spans="1:6">
      <c r="A217" s="1">
        <v>39417</v>
      </c>
      <c r="B217">
        <v>102.81173346540101</v>
      </c>
      <c r="C217">
        <v>8.3323093131184509E-3</v>
      </c>
      <c r="D217" s="3">
        <f t="shared" si="6"/>
        <v>103.56683927583779</v>
      </c>
      <c r="E217">
        <v>1.92331634461879E-2</v>
      </c>
      <c r="F217">
        <f t="shared" si="7"/>
        <v>104.68647711501208</v>
      </c>
    </row>
    <row r="218" spans="1:6">
      <c r="A218" s="1">
        <v>39448</v>
      </c>
      <c r="B218">
        <v>100.411070396288</v>
      </c>
      <c r="C218">
        <v>-3.6291365977376699E-3</v>
      </c>
      <c r="D218" s="3">
        <f t="shared" si="6"/>
        <v>102.43861564080487</v>
      </c>
      <c r="E218">
        <v>-1.8129987642168999E-2</v>
      </c>
      <c r="F218">
        <f t="shared" si="7"/>
        <v>100.94775800820331</v>
      </c>
    </row>
    <row r="219" spans="1:6">
      <c r="A219" s="1">
        <v>39479</v>
      </c>
      <c r="B219">
        <v>99.107145853349493</v>
      </c>
      <c r="C219">
        <v>-9.0704783797264099E-3</v>
      </c>
      <c r="D219" s="3">
        <f t="shared" si="6"/>
        <v>99.500293953173284</v>
      </c>
      <c r="E219">
        <v>-4.9074552953243204E-3</v>
      </c>
      <c r="F219">
        <f t="shared" si="7"/>
        <v>99.918307557162549</v>
      </c>
    </row>
    <row r="220" spans="1:6">
      <c r="A220" s="1">
        <v>39508</v>
      </c>
      <c r="B220">
        <v>99.928106295211094</v>
      </c>
      <c r="C220">
        <v>-1.7981870099902101E-2</v>
      </c>
      <c r="D220" s="3">
        <f t="shared" si="6"/>
        <v>97.325014030642507</v>
      </c>
      <c r="E220">
        <v>-7.6440419070422597E-3</v>
      </c>
      <c r="F220">
        <f t="shared" si="7"/>
        <v>98.349566677159146</v>
      </c>
    </row>
    <row r="221" spans="1:6">
      <c r="A221" s="1">
        <v>39539</v>
      </c>
      <c r="B221">
        <v>99.993395331216803</v>
      </c>
      <c r="C221">
        <v>-6.7845016019418803E-4</v>
      </c>
      <c r="D221" s="3">
        <f t="shared" si="6"/>
        <v>99.860310055487204</v>
      </c>
      <c r="E221">
        <v>6.6794268786907196E-3</v>
      </c>
      <c r="F221">
        <f t="shared" si="7"/>
        <v>100.59556877433599</v>
      </c>
    </row>
    <row r="222" spans="1:6">
      <c r="A222" s="1">
        <v>39569</v>
      </c>
      <c r="B222">
        <v>99.236113646962906</v>
      </c>
      <c r="C222">
        <v>-5.0625682342797496E-4</v>
      </c>
      <c r="D222" s="3">
        <f t="shared" si="6"/>
        <v>99.942772992532639</v>
      </c>
      <c r="E222">
        <v>-1.32163416128605E-3</v>
      </c>
      <c r="F222">
        <f t="shared" si="7"/>
        <v>99.861240644044088</v>
      </c>
    </row>
    <row r="223" spans="1:6">
      <c r="A223" s="1">
        <v>39600</v>
      </c>
      <c r="B223">
        <v>99.107756972623704</v>
      </c>
      <c r="C223">
        <v>-2.5258595123887001E-3</v>
      </c>
      <c r="D223" s="3">
        <f t="shared" si="6"/>
        <v>98.985457165335234</v>
      </c>
      <c r="E223">
        <v>-9.0683596208691597E-3</v>
      </c>
      <c r="F223">
        <f t="shared" si="7"/>
        <v>98.336204881034803</v>
      </c>
    </row>
    <row r="224" spans="1:6">
      <c r="A224" s="1">
        <v>39630</v>
      </c>
      <c r="B224">
        <v>100.301607233938</v>
      </c>
      <c r="C224">
        <v>-2.19007954001426E-3</v>
      </c>
      <c r="D224" s="3">
        <f t="shared" si="6"/>
        <v>98.890703101821259</v>
      </c>
      <c r="E224">
        <v>-2.7317386120557698E-3</v>
      </c>
      <c r="F224">
        <f t="shared" si="7"/>
        <v>98.837020486147352</v>
      </c>
    </row>
    <row r="225" spans="1:6">
      <c r="A225" s="1">
        <v>39661</v>
      </c>
      <c r="B225">
        <v>100.31335399546801</v>
      </c>
      <c r="C225">
        <v>6.5952660515904401E-3</v>
      </c>
      <c r="D225" s="3">
        <f t="shared" si="6"/>
        <v>100.96312301904796</v>
      </c>
      <c r="E225">
        <v>5.0524142570793603E-3</v>
      </c>
      <c r="F225">
        <f t="shared" si="7"/>
        <v>100.80837250433473</v>
      </c>
    </row>
    <row r="226" spans="1:6">
      <c r="A226" s="1">
        <v>39692</v>
      </c>
      <c r="B226">
        <v>101.08765008130401</v>
      </c>
      <c r="C226">
        <v>6.8120039068162398E-3</v>
      </c>
      <c r="D226" s="3">
        <f t="shared" si="6"/>
        <v>100.99668895479097</v>
      </c>
      <c r="E226">
        <v>8.8965138420462608E-3</v>
      </c>
      <c r="F226">
        <f t="shared" si="7"/>
        <v>101.20579313783077</v>
      </c>
    </row>
    <row r="227" spans="1:6">
      <c r="A227" s="1">
        <v>39722</v>
      </c>
      <c r="B227">
        <v>101.5972560875</v>
      </c>
      <c r="C227">
        <v>7.0860669948160596E-3</v>
      </c>
      <c r="D227" s="3">
        <f t="shared" si="6"/>
        <v>101.80396394212865</v>
      </c>
      <c r="E227">
        <v>-6.30636233836412E-3</v>
      </c>
      <c r="F227">
        <f t="shared" si="7"/>
        <v>100.45015473195754</v>
      </c>
    </row>
    <row r="228" spans="1:6">
      <c r="A228" s="1">
        <v>39753</v>
      </c>
      <c r="B228">
        <v>103.07568066493</v>
      </c>
      <c r="C228">
        <v>5.8863186277449096E-3</v>
      </c>
      <c r="D228" s="3">
        <f t="shared" si="6"/>
        <v>102.19528990853563</v>
      </c>
      <c r="E228">
        <v>1.6648028045892702E-2</v>
      </c>
      <c r="F228">
        <f t="shared" si="7"/>
        <v>103.28865005623044</v>
      </c>
    </row>
    <row r="229" spans="1:6">
      <c r="A229" s="1">
        <v>39783</v>
      </c>
      <c r="B229">
        <v>103.336257421269</v>
      </c>
      <c r="C229">
        <v>7.7154459431767403E-3</v>
      </c>
      <c r="D229" s="3">
        <f t="shared" si="6"/>
        <v>103.87095550715642</v>
      </c>
      <c r="E229">
        <v>1.0346167720854201E-2</v>
      </c>
      <c r="F229">
        <f t="shared" si="7"/>
        <v>104.14211894503057</v>
      </c>
    </row>
    <row r="230" spans="1:6">
      <c r="A230" s="1">
        <v>39814</v>
      </c>
      <c r="B230">
        <v>105.113982885379</v>
      </c>
      <c r="C230">
        <v>4.5512686483561897E-3</v>
      </c>
      <c r="D230" s="3">
        <f t="shared" si="6"/>
        <v>103.80656848990888</v>
      </c>
      <c r="E230">
        <v>2.23630666732788E-3</v>
      </c>
      <c r="F230">
        <f t="shared" si="7"/>
        <v>103.56734898271689</v>
      </c>
    </row>
    <row r="231" spans="1:6">
      <c r="A231" s="1">
        <v>39845</v>
      </c>
      <c r="B231">
        <v>105.509952901343</v>
      </c>
      <c r="C231">
        <v>3.80069459788501E-3</v>
      </c>
      <c r="D231" s="3">
        <f t="shared" si="6"/>
        <v>105.51348903229363</v>
      </c>
      <c r="E231">
        <v>2.5226736906915899E-3</v>
      </c>
      <c r="F231">
        <f t="shared" si="7"/>
        <v>105.37915116452776</v>
      </c>
    </row>
    <row r="232" spans="1:6">
      <c r="A232" s="1">
        <v>39873</v>
      </c>
      <c r="B232">
        <v>102.81715719141199</v>
      </c>
      <c r="C232">
        <v>9.1298427432775497E-3</v>
      </c>
      <c r="D232" s="3">
        <f t="shared" si="6"/>
        <v>106.47324217918288</v>
      </c>
      <c r="E232">
        <v>1.27228274941444E-2</v>
      </c>
      <c r="F232">
        <f t="shared" si="7"/>
        <v>106.85233783102208</v>
      </c>
    </row>
    <row r="233" spans="1:6">
      <c r="A233" s="1">
        <v>39904</v>
      </c>
      <c r="B233">
        <v>104.4031042717</v>
      </c>
      <c r="C233">
        <v>-7.4717542156577099E-4</v>
      </c>
      <c r="D233" s="3">
        <f t="shared" si="6"/>
        <v>102.74033473864331</v>
      </c>
      <c r="E233">
        <v>-1.9370500231161701E-3</v>
      </c>
      <c r="F233">
        <f t="shared" si="7"/>
        <v>102.61799521469763</v>
      </c>
    </row>
    <row r="234" spans="1:6">
      <c r="A234" s="1">
        <v>39934</v>
      </c>
      <c r="B234">
        <v>103.953359258839</v>
      </c>
      <c r="C234" s="3">
        <v>-2.37356762227136E-5</v>
      </c>
      <c r="D234" s="3">
        <f t="shared" si="6"/>
        <v>104.40062619342036</v>
      </c>
      <c r="E234" s="3">
        <v>-1.3347692402021401E-5</v>
      </c>
      <c r="F234">
        <f t="shared" si="7"/>
        <v>104.40171073117837</v>
      </c>
    </row>
    <row r="235" spans="1:6">
      <c r="A235" s="1">
        <v>39965</v>
      </c>
      <c r="B235">
        <v>104.52006407444701</v>
      </c>
      <c r="C235">
        <v>-1.0318978456780299E-3</v>
      </c>
      <c r="D235" s="3">
        <f t="shared" si="6"/>
        <v>103.84609001136882</v>
      </c>
      <c r="E235">
        <v>1.47588740219362E-4</v>
      </c>
      <c r="F235">
        <f t="shared" si="7"/>
        <v>103.96870160417359</v>
      </c>
    </row>
    <row r="236" spans="1:6">
      <c r="A236" s="1">
        <v>39995</v>
      </c>
      <c r="B236">
        <v>105.590987811113</v>
      </c>
      <c r="C236" s="3">
        <v>8.0870167948887599E-6</v>
      </c>
      <c r="D236" s="3">
        <f t="shared" si="6"/>
        <v>104.52090932996057</v>
      </c>
      <c r="E236">
        <v>9.2264160048216495E-4</v>
      </c>
      <c r="F236">
        <f t="shared" si="7"/>
        <v>104.61649863364715</v>
      </c>
    </row>
    <row r="237" spans="1:6">
      <c r="A237" s="1">
        <v>40026</v>
      </c>
      <c r="B237">
        <v>103.894320454519</v>
      </c>
      <c r="C237">
        <v>4.8349835560657003E-4</v>
      </c>
      <c r="D237" s="3">
        <f t="shared" si="6"/>
        <v>105.64204088008654</v>
      </c>
      <c r="E237">
        <v>2.9331460245884901E-4</v>
      </c>
      <c r="F237">
        <f t="shared" si="7"/>
        <v>105.62195918972606</v>
      </c>
    </row>
    <row r="238" spans="1:6">
      <c r="A238" s="1">
        <v>40057</v>
      </c>
      <c r="B238">
        <v>103.70479573737499</v>
      </c>
      <c r="C238">
        <v>5.1014963537454605E-4</v>
      </c>
      <c r="D238" s="3">
        <f t="shared" si="6"/>
        <v>103.94732210421637</v>
      </c>
      <c r="E238">
        <v>-2.14221217902377E-4</v>
      </c>
      <c r="F238">
        <f t="shared" si="7"/>
        <v>103.8720640866581</v>
      </c>
    </row>
    <row r="239" spans="1:6">
      <c r="A239" s="1">
        <v>40087</v>
      </c>
      <c r="B239">
        <v>103.720168902475</v>
      </c>
      <c r="C239">
        <v>-4.0802342118695302E-4</v>
      </c>
      <c r="D239" s="3">
        <f t="shared" si="6"/>
        <v>103.66248175182474</v>
      </c>
      <c r="E239">
        <v>-6.2298652483150298E-4</v>
      </c>
      <c r="F239">
        <f t="shared" si="7"/>
        <v>103.64018904707021</v>
      </c>
    </row>
    <row r="240" spans="1:6">
      <c r="A240" s="1">
        <v>40118</v>
      </c>
      <c r="B240">
        <v>104.29383737501399</v>
      </c>
      <c r="C240">
        <v>-1.0780600132420601E-3</v>
      </c>
      <c r="D240" s="3">
        <f t="shared" si="6"/>
        <v>103.60835233581453</v>
      </c>
      <c r="E240">
        <v>-8.0049759708344904E-4</v>
      </c>
      <c r="F240">
        <f t="shared" si="7"/>
        <v>103.63714115649948</v>
      </c>
    </row>
    <row r="241" spans="1:6">
      <c r="A241" s="1">
        <v>40148</v>
      </c>
      <c r="B241">
        <v>104.525062624065</v>
      </c>
      <c r="C241">
        <v>-5.9480196796357599E-4</v>
      </c>
      <c r="D241" s="3">
        <f t="shared" si="6"/>
        <v>104.23180319529686</v>
      </c>
      <c r="E241">
        <v>-6.5740128047764301E-4</v>
      </c>
      <c r="F241">
        <f t="shared" si="7"/>
        <v>104.22527447277773</v>
      </c>
    </row>
    <row r="242" spans="1:6">
      <c r="A242" s="1">
        <v>40179</v>
      </c>
      <c r="B242">
        <v>104.177568472999</v>
      </c>
      <c r="C242">
        <v>2.4155017454177102E-3</v>
      </c>
      <c r="D242" s="3">
        <f t="shared" si="6"/>
        <v>104.77754309527333</v>
      </c>
      <c r="E242">
        <v>8.39464273303747E-3</v>
      </c>
      <c r="F242">
        <f t="shared" si="7"/>
        <v>105.4025131814424</v>
      </c>
    </row>
    <row r="243" spans="1:6">
      <c r="A243" s="1">
        <v>40210</v>
      </c>
      <c r="B243">
        <v>105.176015239039</v>
      </c>
      <c r="C243">
        <v>2.35336064361035E-3</v>
      </c>
      <c r="D243" s="3">
        <f t="shared" si="6"/>
        <v>104.42273586259037</v>
      </c>
      <c r="E243">
        <v>2.01959209516644E-3</v>
      </c>
      <c r="F243">
        <f t="shared" si="7"/>
        <v>104.38796466678073</v>
      </c>
    </row>
    <row r="244" spans="1:6">
      <c r="A244" s="1">
        <v>40238</v>
      </c>
      <c r="B244">
        <v>104.659852799829</v>
      </c>
      <c r="C244" s="3">
        <v>-6.2568098655901795E-5</v>
      </c>
      <c r="D244" s="3">
        <f t="shared" si="6"/>
        <v>105.16943457574129</v>
      </c>
      <c r="E244">
        <v>-5.7079400867223696E-3</v>
      </c>
      <c r="F244">
        <f t="shared" si="7"/>
        <v>104.57567684549437</v>
      </c>
    </row>
    <row r="245" spans="1:6">
      <c r="A245" s="1">
        <v>40269</v>
      </c>
      <c r="B245">
        <v>105.043584540922</v>
      </c>
      <c r="C245">
        <v>-5.3681095596402797E-4</v>
      </c>
      <c r="D245" s="3">
        <f t="shared" si="6"/>
        <v>104.60367024419646</v>
      </c>
      <c r="E245">
        <v>4.5967511832714003E-3</v>
      </c>
      <c r="F245">
        <f t="shared" si="7"/>
        <v>105.14094810202762</v>
      </c>
    </row>
    <row r="246" spans="1:6">
      <c r="A246" s="1">
        <v>40299</v>
      </c>
      <c r="B246">
        <v>107.31993985504</v>
      </c>
      <c r="C246">
        <v>7.1217911317944501E-3</v>
      </c>
      <c r="D246" s="3">
        <f t="shared" si="6"/>
        <v>105.79168300975743</v>
      </c>
      <c r="E246">
        <v>8.7398923933505995E-3</v>
      </c>
      <c r="F246">
        <f t="shared" si="7"/>
        <v>105.96165416642148</v>
      </c>
    </row>
    <row r="247" spans="1:6">
      <c r="A247" s="1">
        <v>40330</v>
      </c>
      <c r="B247">
        <v>107.392923492775</v>
      </c>
      <c r="C247">
        <v>1.15388492122292E-2</v>
      </c>
      <c r="D247" s="3">
        <f t="shared" si="6"/>
        <v>108.55828845849283</v>
      </c>
      <c r="E247">
        <v>4.7871842980384801E-3</v>
      </c>
      <c r="F247">
        <f t="shared" si="7"/>
        <v>107.83370018598049</v>
      </c>
    </row>
    <row r="248" spans="1:6">
      <c r="A248" s="1">
        <v>40360</v>
      </c>
      <c r="B248">
        <v>105.94930534277</v>
      </c>
      <c r="C248">
        <v>5.7763908989727497E-3</v>
      </c>
      <c r="D248" s="3">
        <f t="shared" si="6"/>
        <v>108.01326699865274</v>
      </c>
      <c r="E248">
        <v>-2.6850551366806E-3</v>
      </c>
      <c r="F248">
        <f t="shared" si="7"/>
        <v>107.10456757190758</v>
      </c>
    </row>
    <row r="249" spans="1:6">
      <c r="A249" s="1">
        <v>40391</v>
      </c>
      <c r="B249">
        <v>109.207258889221</v>
      </c>
      <c r="C249">
        <v>7.2439406067132898E-3</v>
      </c>
      <c r="D249" s="3">
        <f t="shared" si="6"/>
        <v>106.71679581799556</v>
      </c>
      <c r="E249">
        <v>3.4070243127644001E-3</v>
      </c>
      <c r="F249">
        <f t="shared" si="7"/>
        <v>106.31027720199332</v>
      </c>
    </row>
    <row r="250" spans="1:6">
      <c r="A250" s="1">
        <v>40422</v>
      </c>
      <c r="B250">
        <v>109.67843060394399</v>
      </c>
      <c r="C250">
        <v>2.7374085038900302E-3</v>
      </c>
      <c r="D250" s="3">
        <f t="shared" si="6"/>
        <v>109.50620376839088</v>
      </c>
      <c r="E250">
        <v>1.5035769902169699E-2</v>
      </c>
      <c r="F250">
        <f t="shared" si="7"/>
        <v>110.84927410552599</v>
      </c>
    </row>
    <row r="251" spans="1:6">
      <c r="A251" s="1">
        <v>40452</v>
      </c>
      <c r="B251">
        <v>107.233634800986</v>
      </c>
      <c r="C251">
        <v>1.5094752598088199E-4</v>
      </c>
      <c r="D251" s="3">
        <f t="shared" si="6"/>
        <v>109.69498629169712</v>
      </c>
      <c r="E251">
        <v>3.8168419268913502E-4</v>
      </c>
      <c r="F251">
        <f t="shared" si="7"/>
        <v>109.72029312718448</v>
      </c>
    </row>
    <row r="252" spans="1:6">
      <c r="A252" s="1">
        <v>40483</v>
      </c>
      <c r="B252">
        <v>108.521428599218</v>
      </c>
      <c r="C252">
        <v>-2.4459755513817001E-4</v>
      </c>
      <c r="D252" s="3">
        <f t="shared" si="6"/>
        <v>107.20740571608509</v>
      </c>
      <c r="E252">
        <v>-2.9908958822488698E-4</v>
      </c>
      <c r="F252">
        <f t="shared" si="7"/>
        <v>107.20156233730951</v>
      </c>
    </row>
    <row r="253" spans="1:6">
      <c r="A253" s="1">
        <v>40513</v>
      </c>
      <c r="B253">
        <v>108.976770327713</v>
      </c>
      <c r="C253">
        <v>-2.2398045985028099E-4</v>
      </c>
      <c r="D253" s="3">
        <f t="shared" si="6"/>
        <v>108.49712191973674</v>
      </c>
      <c r="E253">
        <v>-4.0022507891990201E-4</v>
      </c>
      <c r="F253">
        <f t="shared" si="7"/>
        <v>108.47799560189237</v>
      </c>
    </row>
    <row r="254" spans="1:6">
      <c r="A254" s="1">
        <v>40544</v>
      </c>
      <c r="B254">
        <v>105.865937304025</v>
      </c>
      <c r="C254">
        <v>-7.2874967008829099E-3</v>
      </c>
      <c r="D254" s="3">
        <f t="shared" si="6"/>
        <v>108.18260247347692</v>
      </c>
      <c r="E254">
        <v>-4.7807514667510903E-2</v>
      </c>
      <c r="F254">
        <f t="shared" si="7"/>
        <v>103.7668617818529</v>
      </c>
    </row>
    <row r="255" spans="1:6">
      <c r="A255" s="1">
        <v>40575</v>
      </c>
      <c r="B255">
        <v>105.691246292739</v>
      </c>
      <c r="C255">
        <v>-4.5975106768310001E-3</v>
      </c>
      <c r="D255" s="3">
        <f t="shared" si="6"/>
        <v>105.37921752695702</v>
      </c>
      <c r="E255">
        <v>-0.15997360646724701</v>
      </c>
      <c r="F255">
        <f t="shared" si="7"/>
        <v>88.930181511464653</v>
      </c>
    </row>
    <row r="256" spans="1:6">
      <c r="A256" s="1">
        <v>40603</v>
      </c>
      <c r="B256">
        <v>106.209765728276</v>
      </c>
      <c r="C256">
        <v>-9.7964582964777894E-3</v>
      </c>
      <c r="D256" s="3">
        <f t="shared" si="6"/>
        <v>104.65584640612941</v>
      </c>
      <c r="E256">
        <v>0.186099663376808</v>
      </c>
      <c r="F256">
        <f t="shared" si="7"/>
        <v>125.36035164969303</v>
      </c>
    </row>
    <row r="257" spans="1:6">
      <c r="A257" s="1">
        <v>40634</v>
      </c>
      <c r="B257">
        <v>105.021388470936</v>
      </c>
      <c r="C257">
        <v>-1.6853699926286899E-3</v>
      </c>
      <c r="D257" s="3">
        <f t="shared" si="6"/>
        <v>106.03076297619344</v>
      </c>
      <c r="E257">
        <v>-2.3561418056487998E-3</v>
      </c>
      <c r="F257">
        <f t="shared" si="7"/>
        <v>105.95952045907543</v>
      </c>
    </row>
    <row r="258" spans="1:6">
      <c r="A258" s="1">
        <v>40664</v>
      </c>
      <c r="B258">
        <v>105.58746493064299</v>
      </c>
      <c r="C258">
        <v>-1.6066081589087801E-3</v>
      </c>
      <c r="D258" s="3">
        <f t="shared" si="6"/>
        <v>104.85266025135867</v>
      </c>
      <c r="E258">
        <v>-2.90485844016075E-3</v>
      </c>
      <c r="F258">
        <f t="shared" si="7"/>
        <v>104.71631620423881</v>
      </c>
    </row>
    <row r="259" spans="1:6">
      <c r="A259" s="1">
        <v>40695</v>
      </c>
      <c r="B259">
        <v>105.75491936575401</v>
      </c>
      <c r="C259">
        <v>-1.1335408780723799E-3</v>
      </c>
      <c r="D259" s="3">
        <f t="shared" si="6"/>
        <v>105.46777722293207</v>
      </c>
      <c r="E259">
        <v>8.3548092516139095E-4</v>
      </c>
      <c r="F259">
        <f t="shared" si="7"/>
        <v>105.6756812435287</v>
      </c>
    </row>
    <row r="260" spans="1:6">
      <c r="A260" s="1">
        <v>40725</v>
      </c>
      <c r="B260">
        <v>106.81473136833</v>
      </c>
      <c r="C260">
        <v>3.0328060965984999E-3</v>
      </c>
      <c r="D260" s="3">
        <f t="shared" si="6"/>
        <v>106.07565352995175</v>
      </c>
      <c r="E260">
        <v>3.5250778310000801E-3</v>
      </c>
      <c r="F260">
        <f t="shared" si="7"/>
        <v>106.12771368752942</v>
      </c>
    </row>
    <row r="261" spans="1:6">
      <c r="A261" s="1">
        <v>40756</v>
      </c>
      <c r="B261">
        <v>105.37336605977499</v>
      </c>
      <c r="C261">
        <v>3.7885208148509199E-3</v>
      </c>
      <c r="D261" s="3">
        <f t="shared" ref="D261:D324" si="8">B260*C261+B260</f>
        <v>107.21940120145163</v>
      </c>
      <c r="E261">
        <v>7.9047046601772308E-3</v>
      </c>
      <c r="F261">
        <f t="shared" si="7"/>
        <v>107.65907027315282</v>
      </c>
    </row>
    <row r="262" spans="1:6">
      <c r="A262" s="1">
        <v>40787</v>
      </c>
      <c r="B262">
        <v>108.088785530628</v>
      </c>
      <c r="C262">
        <v>5.4718228057026802E-3</v>
      </c>
      <c r="D262" s="3">
        <f t="shared" si="8"/>
        <v>105.94995044729453</v>
      </c>
      <c r="E262">
        <v>8.6336740059777997E-4</v>
      </c>
      <c r="F262">
        <f t="shared" si="7"/>
        <v>105.46434198892226</v>
      </c>
    </row>
    <row r="263" spans="1:6">
      <c r="A263" s="1">
        <v>40817</v>
      </c>
      <c r="B263">
        <v>108.346008206745</v>
      </c>
      <c r="C263">
        <v>3.5460102371871402E-3</v>
      </c>
      <c r="D263" s="3">
        <f t="shared" si="8"/>
        <v>108.47206947064474</v>
      </c>
      <c r="E263">
        <v>-3.37198423221707E-3</v>
      </c>
      <c r="F263">
        <f t="shared" ref="F263:F326" si="9">B262*E263+B262</f>
        <v>107.72431185013923</v>
      </c>
    </row>
    <row r="264" spans="1:6">
      <c r="A264" s="1">
        <v>40848</v>
      </c>
      <c r="B264">
        <v>107.054840646963</v>
      </c>
      <c r="C264">
        <v>4.1181733831763198E-3</v>
      </c>
      <c r="D264" s="3">
        <f t="shared" si="8"/>
        <v>108.79219585391542</v>
      </c>
      <c r="E264">
        <v>3.1824896577745598E-3</v>
      </c>
      <c r="F264">
        <f t="shared" si="9"/>
        <v>108.69081825732412</v>
      </c>
    </row>
    <row r="265" spans="1:6">
      <c r="A265" s="1">
        <v>40878</v>
      </c>
      <c r="B265">
        <v>108.189512155218</v>
      </c>
      <c r="C265">
        <v>2.6283331681042901E-3</v>
      </c>
      <c r="D265" s="3">
        <f t="shared" si="8"/>
        <v>107.33621643544153</v>
      </c>
      <c r="E265">
        <v>1.04820113629102E-2</v>
      </c>
      <c r="F265">
        <f t="shared" si="9"/>
        <v>108.17699070307901</v>
      </c>
    </row>
    <row r="266" spans="1:6">
      <c r="A266" s="1">
        <v>40909</v>
      </c>
      <c r="B266">
        <v>109.831873277798</v>
      </c>
      <c r="C266">
        <v>9.3777691945433599E-3</v>
      </c>
      <c r="D266" s="3">
        <f t="shared" si="8"/>
        <v>109.20408842947988</v>
      </c>
      <c r="E266">
        <v>-0.14153203368186901</v>
      </c>
      <c r="F266">
        <f t="shared" si="9"/>
        <v>92.877230476840708</v>
      </c>
    </row>
    <row r="267" spans="1:6">
      <c r="A267" s="1">
        <v>40940</v>
      </c>
      <c r="B267">
        <v>114.27652920021301</v>
      </c>
      <c r="C267">
        <v>1.8855199217796301E-2</v>
      </c>
      <c r="D267" s="3">
        <f t="shared" si="8"/>
        <v>111.90277512891464</v>
      </c>
      <c r="E267">
        <v>7.2065860033035195E-2</v>
      </c>
      <c r="F267">
        <f t="shared" si="9"/>
        <v>117.74700168460184</v>
      </c>
    </row>
    <row r="268" spans="1:6">
      <c r="A268" s="1">
        <v>40969</v>
      </c>
      <c r="B268">
        <v>113.568441192737</v>
      </c>
      <c r="C268">
        <v>1.43779860809445E-2</v>
      </c>
      <c r="D268" s="3">
        <f t="shared" si="8"/>
        <v>115.91959554643232</v>
      </c>
      <c r="E268">
        <v>0.112077139317989</v>
      </c>
      <c r="F268">
        <f t="shared" si="9"/>
        <v>127.08431568416151</v>
      </c>
    </row>
    <row r="269" spans="1:6">
      <c r="A269" s="1">
        <v>41000</v>
      </c>
      <c r="B269">
        <v>112.848664183365</v>
      </c>
      <c r="C269">
        <v>-4.3563693179748898E-4</v>
      </c>
      <c r="D269" s="3">
        <f t="shared" si="8"/>
        <v>113.51896658546677</v>
      </c>
      <c r="E269">
        <v>2.75865604635328E-4</v>
      </c>
      <c r="F269">
        <f t="shared" si="9"/>
        <v>113.59977081943413</v>
      </c>
    </row>
    <row r="270" spans="1:6">
      <c r="A270" s="1">
        <v>41030</v>
      </c>
      <c r="B270">
        <v>113.411114847025</v>
      </c>
      <c r="C270">
        <v>-5.4126797476783395E-4</v>
      </c>
      <c r="D270" s="3">
        <f t="shared" si="8"/>
        <v>112.78758281544722</v>
      </c>
      <c r="E270">
        <v>-6.2101433286443298E-4</v>
      </c>
      <c r="F270">
        <f t="shared" si="9"/>
        <v>112.77858354546252</v>
      </c>
    </row>
    <row r="271" spans="1:6">
      <c r="A271" s="1">
        <v>41061</v>
      </c>
      <c r="B271">
        <v>110.97482654125901</v>
      </c>
      <c r="C271">
        <v>-3.3360227826051398E-4</v>
      </c>
      <c r="D271" s="3">
        <f t="shared" si="8"/>
        <v>113.37328064073198</v>
      </c>
      <c r="E271">
        <v>-9.6535851480439305E-4</v>
      </c>
      <c r="F271">
        <f t="shared" si="9"/>
        <v>113.30163246163397</v>
      </c>
    </row>
    <row r="272" spans="1:6">
      <c r="A272" s="1">
        <v>41091</v>
      </c>
      <c r="B272">
        <v>111.847034352192</v>
      </c>
      <c r="C272">
        <v>-2.54758307710289E-3</v>
      </c>
      <c r="D272" s="3">
        <f t="shared" si="8"/>
        <v>110.69210895117807</v>
      </c>
      <c r="E272">
        <v>-4.3569761328399103E-3</v>
      </c>
      <c r="F272">
        <f t="shared" si="9"/>
        <v>110.49131187067269</v>
      </c>
    </row>
    <row r="273" spans="1:6">
      <c r="A273" s="1">
        <v>41122</v>
      </c>
      <c r="B273">
        <v>110.00372239735999</v>
      </c>
      <c r="C273">
        <v>-8.0607570707798004E-3</v>
      </c>
      <c r="D273" s="3">
        <f t="shared" si="8"/>
        <v>110.94546257919181</v>
      </c>
      <c r="E273">
        <v>-2.04617939889431E-2</v>
      </c>
      <c r="F273">
        <f t="shared" si="9"/>
        <v>109.5584433770032</v>
      </c>
    </row>
    <row r="274" spans="1:6">
      <c r="A274" s="1">
        <v>41153</v>
      </c>
      <c r="B274">
        <v>111.162117845605</v>
      </c>
      <c r="C274">
        <v>-1.9893555436283298E-3</v>
      </c>
      <c r="D274" s="3">
        <f t="shared" si="8"/>
        <v>109.78488588238905</v>
      </c>
      <c r="E274">
        <v>1.2221074663102601E-2</v>
      </c>
      <c r="F274">
        <f t="shared" si="9"/>
        <v>111.34808610199734</v>
      </c>
    </row>
    <row r="275" spans="1:6">
      <c r="A275" s="1">
        <v>41183</v>
      </c>
      <c r="B275">
        <v>111.62821897453099</v>
      </c>
      <c r="C275">
        <v>1.2544927885755799E-3</v>
      </c>
      <c r="D275" s="3">
        <f t="shared" si="8"/>
        <v>111.30156992080509</v>
      </c>
      <c r="E275">
        <v>-2.4971775710582698E-3</v>
      </c>
      <c r="F275">
        <f t="shared" si="9"/>
        <v>110.88452629816962</v>
      </c>
    </row>
    <row r="276" spans="1:6">
      <c r="A276" s="1">
        <v>41214</v>
      </c>
      <c r="B276">
        <v>112.342515543928</v>
      </c>
      <c r="C276">
        <v>2.4881046265363602E-3</v>
      </c>
      <c r="D276" s="3">
        <f t="shared" si="8"/>
        <v>111.90596166261354</v>
      </c>
      <c r="E276">
        <v>4.2939176782965599E-3</v>
      </c>
      <c r="F276">
        <f t="shared" si="9"/>
        <v>112.10754135738249</v>
      </c>
    </row>
    <row r="277" spans="1:6">
      <c r="A277" s="1">
        <v>41244</v>
      </c>
      <c r="B277">
        <v>111.20436651040301</v>
      </c>
      <c r="C277">
        <v>2.7293357998132701E-3</v>
      </c>
      <c r="D277" s="3">
        <f t="shared" si="8"/>
        <v>112.64913599344312</v>
      </c>
      <c r="E277">
        <v>4.6751927584409696E-3</v>
      </c>
      <c r="F277">
        <f t="shared" si="9"/>
        <v>112.86773845906401</v>
      </c>
    </row>
    <row r="278" spans="1:6">
      <c r="A278" s="1">
        <v>41275</v>
      </c>
      <c r="B278">
        <v>110.893599526834</v>
      </c>
      <c r="C278">
        <v>-4.8039122484624299E-3</v>
      </c>
      <c r="D278" s="3">
        <f t="shared" si="8"/>
        <v>110.67015049204117</v>
      </c>
      <c r="E278">
        <v>-5.6091663427650902E-3</v>
      </c>
      <c r="F278">
        <f t="shared" si="9"/>
        <v>110.58060272060433</v>
      </c>
    </row>
    <row r="279" spans="1:6">
      <c r="A279" s="1">
        <v>41306</v>
      </c>
      <c r="B279">
        <v>111.15428893037701</v>
      </c>
      <c r="C279">
        <v>-3.6784387193620201E-3</v>
      </c>
      <c r="D279" s="3">
        <f t="shared" si="8"/>
        <v>110.48568421660507</v>
      </c>
      <c r="E279">
        <v>9.8990863189101202E-3</v>
      </c>
      <c r="F279">
        <f t="shared" si="9"/>
        <v>111.99134484076478</v>
      </c>
    </row>
    <row r="280" spans="1:6">
      <c r="A280" s="1">
        <v>41334</v>
      </c>
      <c r="B280">
        <v>109.10962463624099</v>
      </c>
      <c r="C280">
        <v>-3.5766016226261802E-3</v>
      </c>
      <c r="D280" s="3">
        <f t="shared" si="8"/>
        <v>110.75673432022676</v>
      </c>
      <c r="E280">
        <v>-1.6348872333764999E-2</v>
      </c>
      <c r="F280">
        <f t="shared" si="9"/>
        <v>109.33704165130385</v>
      </c>
    </row>
    <row r="281" spans="1:6">
      <c r="A281" s="1">
        <v>41365</v>
      </c>
      <c r="B281">
        <v>107.471437110699</v>
      </c>
      <c r="C281">
        <v>-6.7789964377880096E-3</v>
      </c>
      <c r="D281" s="3">
        <f t="shared" si="8"/>
        <v>108.36997087950353</v>
      </c>
      <c r="E281">
        <v>-8.9881578460335697E-3</v>
      </c>
      <c r="F281">
        <f t="shared" si="9"/>
        <v>108.12893010748898</v>
      </c>
    </row>
    <row r="282" spans="1:6">
      <c r="A282" s="1">
        <v>41395</v>
      </c>
      <c r="B282">
        <v>110.186310089137</v>
      </c>
      <c r="C282">
        <v>-7.24022276699543E-3</v>
      </c>
      <c r="D282" s="3">
        <f t="shared" si="8"/>
        <v>106.69331996492841</v>
      </c>
      <c r="E282">
        <v>-4.0669180452823604E-3</v>
      </c>
      <c r="F282">
        <f t="shared" si="9"/>
        <v>107.03435958376107</v>
      </c>
    </row>
    <row r="283" spans="1:6">
      <c r="A283" s="1">
        <v>41426</v>
      </c>
      <c r="B283">
        <v>108.925227052986</v>
      </c>
      <c r="C283">
        <v>1.09135864477138E-4</v>
      </c>
      <c r="D283" s="3">
        <f t="shared" si="8"/>
        <v>110.19833536734212</v>
      </c>
      <c r="E283">
        <v>-8.5500726709142295E-4</v>
      </c>
      <c r="F283">
        <f t="shared" si="9"/>
        <v>110.09209999327679</v>
      </c>
    </row>
    <row r="284" spans="1:6">
      <c r="A284" s="1">
        <v>41456</v>
      </c>
      <c r="B284">
        <v>106.03367756336399</v>
      </c>
      <c r="C284">
        <v>-3.9332034066319396E-3</v>
      </c>
      <c r="D284" s="3">
        <f t="shared" si="8"/>
        <v>108.49680197887304</v>
      </c>
      <c r="E284">
        <v>8.3766477182507498E-3</v>
      </c>
      <c r="F284">
        <f t="shared" si="9"/>
        <v>109.83765530763934</v>
      </c>
    </row>
    <row r="285" spans="1:6">
      <c r="A285" s="1">
        <v>41487</v>
      </c>
      <c r="B285">
        <v>108.61334439049899</v>
      </c>
      <c r="C285">
        <v>-9.4808954745530995E-3</v>
      </c>
      <c r="D285" s="3">
        <f t="shared" si="8"/>
        <v>105.02838334960327</v>
      </c>
      <c r="E285">
        <v>-1.11145284026861E-2</v>
      </c>
      <c r="F285">
        <f t="shared" si="9"/>
        <v>104.85516324244473</v>
      </c>
    </row>
    <row r="286" spans="1:6">
      <c r="A286" s="1">
        <v>41518</v>
      </c>
      <c r="B286">
        <v>107.81706185035399</v>
      </c>
      <c r="C286">
        <v>7.2181288851424997E-4</v>
      </c>
      <c r="D286" s="3">
        <f t="shared" si="8"/>
        <v>108.6917429023447</v>
      </c>
      <c r="E286">
        <v>-9.9544068798422796E-3</v>
      </c>
      <c r="F286">
        <f t="shared" si="9"/>
        <v>107.53216296785553</v>
      </c>
    </row>
    <row r="287" spans="1:6">
      <c r="A287" s="1">
        <v>41548</v>
      </c>
      <c r="B287">
        <v>110.02517058985499</v>
      </c>
      <c r="C287">
        <v>5.3247762843966397E-3</v>
      </c>
      <c r="D287" s="3">
        <f t="shared" si="8"/>
        <v>108.39116358434808</v>
      </c>
      <c r="E287">
        <v>2.0177259575575499E-3</v>
      </c>
      <c r="F287">
        <f t="shared" si="9"/>
        <v>108.03460713471704</v>
      </c>
    </row>
    <row r="288" spans="1:6">
      <c r="A288" s="1">
        <v>41579</v>
      </c>
      <c r="B288">
        <v>109.712337770001</v>
      </c>
      <c r="C288">
        <v>4.5591918751597396E-3</v>
      </c>
      <c r="D288" s="3">
        <f t="shared" si="8"/>
        <v>110.52679645367132</v>
      </c>
      <c r="E288">
        <v>7.0465444587171E-3</v>
      </c>
      <c r="F288">
        <f t="shared" si="9"/>
        <v>110.80046784599435</v>
      </c>
    </row>
    <row r="289" spans="1:6">
      <c r="A289" s="1">
        <v>41609</v>
      </c>
      <c r="B289">
        <v>107.463377351254</v>
      </c>
      <c r="C289">
        <v>4.6985810622572899E-3</v>
      </c>
      <c r="D289" s="3">
        <f t="shared" si="8"/>
        <v>110.22783008254311</v>
      </c>
      <c r="E289">
        <v>5.5182785727083596E-3</v>
      </c>
      <c r="F289">
        <f t="shared" si="9"/>
        <v>110.31776101267894</v>
      </c>
    </row>
    <row r="290" spans="1:6">
      <c r="A290" s="1">
        <v>41640</v>
      </c>
      <c r="B290">
        <v>106.38287812141699</v>
      </c>
      <c r="C290">
        <v>-1.34950242936611E-2</v>
      </c>
      <c r="D290" s="3">
        <f t="shared" si="8"/>
        <v>106.01315646321996</v>
      </c>
      <c r="E290">
        <v>0.216588020324707</v>
      </c>
      <c r="F290">
        <f t="shared" si="9"/>
        <v>130.73865750916906</v>
      </c>
    </row>
    <row r="291" spans="1:6">
      <c r="A291" s="1">
        <v>41671</v>
      </c>
      <c r="B291">
        <v>105.075797496592</v>
      </c>
      <c r="C291">
        <v>-1.5986515209078699E-2</v>
      </c>
      <c r="D291" s="3">
        <f t="shared" si="8"/>
        <v>104.68218662234339</v>
      </c>
      <c r="E291">
        <v>-6.0513522475957801E-2</v>
      </c>
      <c r="F291">
        <f t="shared" si="9"/>
        <v>99.945275435159544</v>
      </c>
    </row>
    <row r="292" spans="1:6">
      <c r="A292" s="1">
        <v>41699</v>
      </c>
      <c r="B292">
        <v>104.325461175603</v>
      </c>
      <c r="C292">
        <v>-6.0339025221764998E-3</v>
      </c>
      <c r="D292" s="3">
        <f t="shared" si="8"/>
        <v>104.44178037705761</v>
      </c>
      <c r="E292">
        <v>-0.191589951515197</v>
      </c>
      <c r="F292">
        <f t="shared" si="9"/>
        <v>84.944330548799286</v>
      </c>
    </row>
    <row r="293" spans="1:6">
      <c r="A293" s="1">
        <v>41730</v>
      </c>
      <c r="B293">
        <v>104.993752127568</v>
      </c>
      <c r="C293">
        <v>-1.1582651495700699E-4</v>
      </c>
      <c r="D293" s="3">
        <f t="shared" si="8"/>
        <v>104.31337752101375</v>
      </c>
      <c r="E293">
        <v>2.51100081950426E-2</v>
      </c>
      <c r="F293">
        <f t="shared" si="9"/>
        <v>106.94507436067398</v>
      </c>
    </row>
    <row r="294" spans="1:6">
      <c r="A294" s="1">
        <v>41760</v>
      </c>
      <c r="B294">
        <v>106.099381887634</v>
      </c>
      <c r="C294">
        <v>1.5031548682600199E-3</v>
      </c>
      <c r="D294" s="3">
        <f t="shared" si="8"/>
        <v>105.15157399721544</v>
      </c>
      <c r="E294">
        <v>-1.4005923876538799E-3</v>
      </c>
      <c r="F294">
        <f t="shared" si="9"/>
        <v>104.84669867758691</v>
      </c>
    </row>
    <row r="295" spans="1:6">
      <c r="A295" s="1">
        <v>41791</v>
      </c>
      <c r="B295">
        <v>105.40109735418601</v>
      </c>
      <c r="C295">
        <v>8.5881794802844503E-4</v>
      </c>
      <c r="D295" s="3">
        <f t="shared" si="8"/>
        <v>106.19050194107382</v>
      </c>
      <c r="E295">
        <v>-2.1463269367814002E-2</v>
      </c>
      <c r="F295">
        <f t="shared" si="9"/>
        <v>103.82214227442114</v>
      </c>
    </row>
    <row r="296" spans="1:6">
      <c r="A296" s="1">
        <v>41821</v>
      </c>
      <c r="B296">
        <v>107.018449387733</v>
      </c>
      <c r="C296">
        <v>-5.9177251532673801E-3</v>
      </c>
      <c r="D296" s="3">
        <f t="shared" si="8"/>
        <v>104.77736262919116</v>
      </c>
      <c r="E296">
        <v>-7.0057518780231406E-2</v>
      </c>
      <c r="F296">
        <f t="shared" si="9"/>
        <v>98.016957996838116</v>
      </c>
    </row>
    <row r="297" spans="1:6">
      <c r="A297" s="1">
        <v>41852</v>
      </c>
      <c r="B297">
        <v>108.45421031895</v>
      </c>
      <c r="C297">
        <v>1.33540304377675E-2</v>
      </c>
      <c r="D297" s="3">
        <f t="shared" si="8"/>
        <v>108.44757701825947</v>
      </c>
      <c r="E297">
        <v>-4.45204265415668E-2</v>
      </c>
      <c r="F297">
        <f t="shared" si="9"/>
        <v>102.25394237317406</v>
      </c>
    </row>
    <row r="298" spans="1:6">
      <c r="A298" s="1">
        <v>41883</v>
      </c>
      <c r="B298">
        <v>106.670958990359</v>
      </c>
      <c r="C298">
        <v>1.0256145149469299E-2</v>
      </c>
      <c r="D298" s="3">
        <f t="shared" si="8"/>
        <v>109.56653244205222</v>
      </c>
      <c r="E298">
        <v>0.13227039575576699</v>
      </c>
      <c r="F298">
        <f t="shared" si="9"/>
        <v>122.79949163921671</v>
      </c>
    </row>
    <row r="299" spans="1:6">
      <c r="A299" s="1">
        <v>41913</v>
      </c>
      <c r="B299">
        <v>108.49987802989401</v>
      </c>
      <c r="C299">
        <v>4.57347463816404E-3</v>
      </c>
      <c r="D299" s="3">
        <f t="shared" si="8"/>
        <v>107.15881591593003</v>
      </c>
      <c r="E299">
        <v>-1.2590568512678101E-3</v>
      </c>
      <c r="F299">
        <f t="shared" si="9"/>
        <v>106.53665418861088</v>
      </c>
    </row>
    <row r="300" spans="1:6">
      <c r="A300" s="1">
        <v>41944</v>
      </c>
      <c r="B300">
        <v>109.84244251907499</v>
      </c>
      <c r="C300">
        <v>1.5694089233875198E-2</v>
      </c>
      <c r="D300" s="3">
        <f t="shared" si="8"/>
        <v>110.20268479755974</v>
      </c>
      <c r="E300">
        <v>7.4744694866239999E-3</v>
      </c>
      <c r="F300">
        <f t="shared" si="9"/>
        <v>109.31085705753088</v>
      </c>
    </row>
    <row r="301" spans="1:6">
      <c r="A301" s="1">
        <v>41974</v>
      </c>
      <c r="B301">
        <v>110.534644974725</v>
      </c>
      <c r="C301">
        <v>4.1868534754030401E-4</v>
      </c>
      <c r="D301" s="3">
        <f t="shared" si="8"/>
        <v>109.88843194029577</v>
      </c>
      <c r="E301">
        <v>1.44708370789885E-2</v>
      </c>
      <c r="F301">
        <f t="shared" si="9"/>
        <v>111.43195460912669</v>
      </c>
    </row>
    <row r="302" spans="1:6">
      <c r="A302" s="1">
        <v>42005</v>
      </c>
      <c r="B302">
        <v>111.237286055615</v>
      </c>
      <c r="C302">
        <v>8.0653093755245191E-3</v>
      </c>
      <c r="D302" s="3">
        <f t="shared" si="8"/>
        <v>111.42614108315992</v>
      </c>
      <c r="E302">
        <v>-4.9526896327733898E-3</v>
      </c>
      <c r="F302">
        <f t="shared" si="9"/>
        <v>109.98720118449639</v>
      </c>
    </row>
    <row r="303" spans="1:6">
      <c r="A303" s="1">
        <v>42036</v>
      </c>
      <c r="B303">
        <v>112.005902317571</v>
      </c>
      <c r="C303">
        <v>9.7863785922527296E-3</v>
      </c>
      <c r="D303" s="3">
        <f t="shared" si="8"/>
        <v>112.32589625052996</v>
      </c>
      <c r="E303">
        <v>1.9620209932327201E-2</v>
      </c>
      <c r="F303">
        <f t="shared" si="9"/>
        <v>113.4197849603285</v>
      </c>
    </row>
    <row r="304" spans="1:6">
      <c r="A304" s="1">
        <v>42064</v>
      </c>
      <c r="B304">
        <v>111.489702905163</v>
      </c>
      <c r="C304">
        <v>-2.02529758098535E-4</v>
      </c>
      <c r="D304" s="3">
        <f t="shared" si="8"/>
        <v>111.98321778926902</v>
      </c>
      <c r="E304">
        <v>2.9816387686878399E-3</v>
      </c>
      <c r="F304">
        <f t="shared" si="9"/>
        <v>112.33986345824293</v>
      </c>
    </row>
    <row r="305" spans="1:6">
      <c r="A305" s="1">
        <v>42095</v>
      </c>
      <c r="B305">
        <v>109.442898741186</v>
      </c>
      <c r="C305">
        <v>-4.1475989855825901E-3</v>
      </c>
      <c r="D305" s="3">
        <f t="shared" si="8"/>
        <v>111.02728832649065</v>
      </c>
      <c r="E305">
        <v>-1.15959416143596E-3</v>
      </c>
      <c r="F305">
        <f t="shared" si="9"/>
        <v>111.36042009661395</v>
      </c>
    </row>
    <row r="306" spans="1:6">
      <c r="A306" s="1">
        <v>42125</v>
      </c>
      <c r="B306">
        <v>111.119075439529</v>
      </c>
      <c r="C306">
        <v>-3.2783525530248798E-3</v>
      </c>
      <c r="D306" s="3">
        <f t="shared" si="8"/>
        <v>109.08410633468739</v>
      </c>
      <c r="E306">
        <v>-6.8973447196185502E-3</v>
      </c>
      <c r="F306">
        <f t="shared" si="9"/>
        <v>108.68803334145373</v>
      </c>
    </row>
    <row r="307" spans="1:6">
      <c r="A307" s="1">
        <v>42156</v>
      </c>
      <c r="B307">
        <v>110.803795849826</v>
      </c>
      <c r="C307">
        <v>-2.68411147408187E-3</v>
      </c>
      <c r="D307" s="3">
        <f t="shared" si="8"/>
        <v>110.82081945415239</v>
      </c>
      <c r="E307">
        <v>-2.0531243644654699E-3</v>
      </c>
      <c r="F307">
        <f t="shared" si="9"/>
        <v>110.89093415838722</v>
      </c>
    </row>
    <row r="308" spans="1:6">
      <c r="A308" s="1">
        <v>42186</v>
      </c>
      <c r="B308">
        <v>108.89441405580899</v>
      </c>
      <c r="C308">
        <v>-3.73316509649157E-3</v>
      </c>
      <c r="D308" s="3">
        <f t="shared" si="8"/>
        <v>110.39014698660066</v>
      </c>
      <c r="E308">
        <v>-1.8367720767855599E-2</v>
      </c>
      <c r="F308">
        <f t="shared" si="9"/>
        <v>108.76858266763792</v>
      </c>
    </row>
    <row r="309" spans="1:6">
      <c r="A309" s="1">
        <v>42217</v>
      </c>
      <c r="B309">
        <v>108.981215206298</v>
      </c>
      <c r="C309">
        <v>-1.5264534158632101E-3</v>
      </c>
      <c r="D309" s="3">
        <f t="shared" si="8"/>
        <v>108.72819180550508</v>
      </c>
      <c r="E309">
        <v>3.5772662609815598E-2</v>
      </c>
      <c r="F309">
        <f t="shared" si="9"/>
        <v>112.78985718992101</v>
      </c>
    </row>
    <row r="310" spans="1:6">
      <c r="A310" s="1">
        <v>42248</v>
      </c>
      <c r="B310">
        <v>109.528295624202</v>
      </c>
      <c r="C310">
        <v>-6.76854001358151E-3</v>
      </c>
      <c r="D310" s="3">
        <f t="shared" si="8"/>
        <v>108.24357149044543</v>
      </c>
      <c r="E310">
        <v>-2.9433097690343801E-2</v>
      </c>
      <c r="F310">
        <f t="shared" si="9"/>
        <v>105.77356045271866</v>
      </c>
    </row>
    <row r="311" spans="1:6">
      <c r="A311" s="1">
        <v>42278</v>
      </c>
      <c r="B311">
        <v>107.74942048548201</v>
      </c>
      <c r="C311">
        <v>-2.3150956258177701E-3</v>
      </c>
      <c r="D311" s="3">
        <f t="shared" si="8"/>
        <v>109.27472714609914</v>
      </c>
      <c r="E311">
        <v>-3.5968506708741101E-3</v>
      </c>
      <c r="F311">
        <f t="shared" si="9"/>
        <v>109.13433870060639</v>
      </c>
    </row>
    <row r="312" spans="1:6">
      <c r="A312" s="1">
        <v>42309</v>
      </c>
      <c r="B312">
        <v>108.460298902722</v>
      </c>
      <c r="C312" s="3">
        <v>-5.9075387980556102E-5</v>
      </c>
      <c r="D312" s="3">
        <f t="shared" si="8"/>
        <v>107.74305514666214</v>
      </c>
      <c r="E312" s="3">
        <v>4.85480013594497E-5</v>
      </c>
      <c r="F312">
        <f t="shared" si="9"/>
        <v>107.75465150449422</v>
      </c>
    </row>
    <row r="313" spans="1:6">
      <c r="A313" s="1">
        <v>42339</v>
      </c>
      <c r="B313">
        <v>110.27574775820401</v>
      </c>
      <c r="C313">
        <v>-4.3504530913196499E-4</v>
      </c>
      <c r="D313" s="3">
        <f t="shared" si="8"/>
        <v>108.41311375845733</v>
      </c>
      <c r="E313">
        <v>7.3908636113628702E-4</v>
      </c>
      <c r="F313">
        <f t="shared" si="9"/>
        <v>108.54046043036577</v>
      </c>
    </row>
    <row r="314" spans="1:6">
      <c r="A314" s="1">
        <v>42370</v>
      </c>
      <c r="B314">
        <v>105.92267785132699</v>
      </c>
      <c r="C314">
        <v>-6.9462880492210301E-3</v>
      </c>
      <c r="D314" s="3">
        <f t="shared" si="8"/>
        <v>109.50974064943227</v>
      </c>
      <c r="E314">
        <v>-9.7569972276687605E-3</v>
      </c>
      <c r="F314">
        <f t="shared" si="9"/>
        <v>109.19978759304811</v>
      </c>
    </row>
    <row r="315" spans="1:6">
      <c r="A315" s="1">
        <v>42401</v>
      </c>
      <c r="B315">
        <v>104.57920449594199</v>
      </c>
      <c r="C315">
        <v>-2.15091966092586E-2</v>
      </c>
      <c r="D315" s="3">
        <f t="shared" si="8"/>
        <v>103.64436614804364</v>
      </c>
      <c r="E315">
        <v>-9.1363806277513504E-3</v>
      </c>
      <c r="F315">
        <f t="shared" si="9"/>
        <v>104.95492794936658</v>
      </c>
    </row>
    <row r="316" spans="1:6">
      <c r="A316" s="1">
        <v>42430</v>
      </c>
      <c r="B316">
        <v>104.954081943573</v>
      </c>
      <c r="C316">
        <v>-5.9108529239892899E-3</v>
      </c>
      <c r="D316" s="3">
        <f t="shared" si="8"/>
        <v>103.96105219925869</v>
      </c>
      <c r="E316">
        <v>-1.5472958795726299E-2</v>
      </c>
      <c r="F316">
        <f t="shared" si="9"/>
        <v>102.96105477388645</v>
      </c>
    </row>
    <row r="317" spans="1:6">
      <c r="A317" s="1">
        <v>42461</v>
      </c>
      <c r="B317">
        <v>104.280874306409</v>
      </c>
      <c r="C317">
        <v>-1.8624232616275499E-3</v>
      </c>
      <c r="D317" s="3">
        <f t="shared" si="8"/>
        <v>104.75861301995853</v>
      </c>
      <c r="E317">
        <v>-1.6023364150896599E-3</v>
      </c>
      <c r="F317">
        <f t="shared" si="9"/>
        <v>104.7859101961625</v>
      </c>
    </row>
    <row r="318" spans="1:6">
      <c r="A318" s="1">
        <v>42491</v>
      </c>
      <c r="B318">
        <v>103.696260967467</v>
      </c>
      <c r="C318">
        <v>-1.9642545375972899E-3</v>
      </c>
      <c r="D318" s="3">
        <f t="shared" si="8"/>
        <v>104.07604012586803</v>
      </c>
      <c r="E318">
        <v>-3.06057697162032E-3</v>
      </c>
      <c r="F318">
        <f t="shared" si="9"/>
        <v>103.96171466392637</v>
      </c>
    </row>
    <row r="319" spans="1:6">
      <c r="A319" s="1">
        <v>42522</v>
      </c>
      <c r="B319">
        <v>105.84541220681901</v>
      </c>
      <c r="C319">
        <v>-1.36472948361188E-3</v>
      </c>
      <c r="D319" s="3">
        <f t="shared" si="8"/>
        <v>103.55474362278439</v>
      </c>
      <c r="E319">
        <v>-5.2849395433440804E-4</v>
      </c>
      <c r="F319">
        <f t="shared" si="9"/>
        <v>103.64145812045861</v>
      </c>
    </row>
    <row r="320" spans="1:6">
      <c r="A320" s="1">
        <v>42552</v>
      </c>
      <c r="B320">
        <v>103.376250736288</v>
      </c>
      <c r="C320" s="3">
        <v>9.7406176791991998E-5</v>
      </c>
      <c r="D320" s="3">
        <f t="shared" si="8"/>
        <v>105.85572220375305</v>
      </c>
      <c r="E320">
        <v>9.2960742767900196E-4</v>
      </c>
      <c r="F320">
        <f t="shared" si="9"/>
        <v>105.94380688819221</v>
      </c>
    </row>
    <row r="321" spans="1:6">
      <c r="A321" s="1">
        <v>42583</v>
      </c>
      <c r="B321">
        <v>105.837437774508</v>
      </c>
      <c r="C321">
        <v>9.7195897251367504E-4</v>
      </c>
      <c r="D321" s="3">
        <f t="shared" si="8"/>
        <v>103.47672821073596</v>
      </c>
      <c r="E321">
        <v>1.3707728357985601E-3</v>
      </c>
      <c r="F321">
        <f t="shared" si="9"/>
        <v>103.51795609266401</v>
      </c>
    </row>
    <row r="322" spans="1:6">
      <c r="A322" s="1">
        <v>42614</v>
      </c>
      <c r="B322">
        <v>105.39538834016901</v>
      </c>
      <c r="C322">
        <v>1.4337864704430099E-3</v>
      </c>
      <c r="D322" s="3">
        <f t="shared" si="8"/>
        <v>105.98918606085545</v>
      </c>
      <c r="E322">
        <v>2.0277133444324101E-4</v>
      </c>
      <c r="F322">
        <f t="shared" si="9"/>
        <v>105.85889857299959</v>
      </c>
    </row>
    <row r="323" spans="1:6">
      <c r="A323" s="1">
        <v>42644</v>
      </c>
      <c r="B323">
        <v>108.88657661744099</v>
      </c>
      <c r="C323">
        <v>6.9687077775597503E-3</v>
      </c>
      <c r="D323" s="3">
        <f t="shared" si="8"/>
        <v>106.12985800261407</v>
      </c>
      <c r="E323">
        <v>-7.6767592690884998E-3</v>
      </c>
      <c r="F323">
        <f t="shared" si="9"/>
        <v>104.58629331580943</v>
      </c>
    </row>
    <row r="324" spans="1:6">
      <c r="A324" s="1">
        <v>42675</v>
      </c>
      <c r="B324">
        <v>109.76544774839699</v>
      </c>
      <c r="C324">
        <v>2.2614827379584299E-2</v>
      </c>
      <c r="D324" s="3">
        <f t="shared" si="8"/>
        <v>111.3490277515983</v>
      </c>
      <c r="E324">
        <v>2.0550256595015502E-2</v>
      </c>
      <c r="F324">
        <f t="shared" si="9"/>
        <v>111.12422370668222</v>
      </c>
    </row>
    <row r="325" spans="1:6">
      <c r="A325" s="1">
        <v>42705</v>
      </c>
      <c r="B325">
        <v>107.05563841057401</v>
      </c>
      <c r="C325">
        <v>5.0858622416853896E-3</v>
      </c>
      <c r="D325" s="3">
        <f t="shared" ref="D325:D361" si="10">B324*C325+B324</f>
        <v>110.32369969454226</v>
      </c>
      <c r="E325">
        <v>2.1795900538563701E-2</v>
      </c>
      <c r="F325">
        <f t="shared" si="9"/>
        <v>112.15788453009196</v>
      </c>
    </row>
    <row r="326" spans="1:6">
      <c r="A326" s="1">
        <v>42736</v>
      </c>
      <c r="B326">
        <v>107.227746395469</v>
      </c>
      <c r="C326">
        <v>-2.2621406242251301E-3</v>
      </c>
      <c r="D326" s="3">
        <f t="shared" si="10"/>
        <v>106.81346350187309</v>
      </c>
      <c r="E326">
        <v>-7.1383188478648602E-3</v>
      </c>
      <c r="F326">
        <f t="shared" si="9"/>
        <v>106.2914411291376</v>
      </c>
    </row>
    <row r="327" spans="1:6">
      <c r="A327" s="1">
        <v>42767</v>
      </c>
      <c r="B327">
        <v>107.918682523814</v>
      </c>
      <c r="C327">
        <v>-5.3929928690194997E-3</v>
      </c>
      <c r="D327" s="3">
        <f t="shared" si="10"/>
        <v>106.6494679237972</v>
      </c>
      <c r="E327">
        <v>-3.1609178986400301E-3</v>
      </c>
      <c r="F327">
        <f t="shared" ref="F327:F361" si="11">B326*E327+B326</f>
        <v>106.88880829265672</v>
      </c>
    </row>
    <row r="328" spans="1:6">
      <c r="A328" s="1">
        <v>42795</v>
      </c>
      <c r="B328">
        <v>106.66443780707201</v>
      </c>
      <c r="C328">
        <v>-4.3811034411191897E-3</v>
      </c>
      <c r="D328" s="3">
        <f t="shared" si="10"/>
        <v>107.44587961244787</v>
      </c>
      <c r="E328">
        <v>-1.7369999550282901E-3</v>
      </c>
      <c r="F328">
        <f t="shared" si="11"/>
        <v>107.73122777712342</v>
      </c>
    </row>
    <row r="329" spans="1:6">
      <c r="A329" s="1">
        <v>42826</v>
      </c>
      <c r="B329">
        <v>106.796009651266</v>
      </c>
      <c r="C329">
        <v>-1.66952167637646E-3</v>
      </c>
      <c r="D329" s="3">
        <f t="shared" si="10"/>
        <v>106.48635921605459</v>
      </c>
      <c r="E329">
        <v>-5.8541051112115296E-3</v>
      </c>
      <c r="F329">
        <f t="shared" si="11"/>
        <v>106.04001297652113</v>
      </c>
    </row>
    <row r="330" spans="1:6">
      <c r="A330" s="1">
        <v>42856</v>
      </c>
      <c r="B330">
        <v>106.636058911649</v>
      </c>
      <c r="C330">
        <v>-4.7281594015657902E-3</v>
      </c>
      <c r="D330" s="3">
        <f t="shared" si="10"/>
        <v>106.29106109418366</v>
      </c>
      <c r="E330">
        <v>-1.5360130928456701E-3</v>
      </c>
      <c r="F330">
        <f t="shared" si="11"/>
        <v>106.63196958217799</v>
      </c>
    </row>
    <row r="331" spans="1:6">
      <c r="A331" s="1">
        <v>42887</v>
      </c>
      <c r="B331">
        <v>104.55846336826799</v>
      </c>
      <c r="C331">
        <v>-5.5447136983275396E-3</v>
      </c>
      <c r="D331" s="3">
        <f t="shared" si="10"/>
        <v>106.04479249506592</v>
      </c>
      <c r="E331">
        <v>-4.5522754080593499E-3</v>
      </c>
      <c r="F331">
        <f t="shared" si="11"/>
        <v>106.15062220305313</v>
      </c>
    </row>
    <row r="332" spans="1:6">
      <c r="A332" s="1">
        <v>42917</v>
      </c>
      <c r="B332">
        <v>105.218928772767</v>
      </c>
      <c r="C332">
        <v>-4.23166574910283E-3</v>
      </c>
      <c r="D332" s="3">
        <f t="shared" si="10"/>
        <v>104.11600690005368</v>
      </c>
      <c r="E332">
        <v>-1.14014092832803E-2</v>
      </c>
      <c r="F332">
        <f t="shared" si="11"/>
        <v>103.3663495333755</v>
      </c>
    </row>
    <row r="333" spans="1:6">
      <c r="A333" s="1">
        <v>42948</v>
      </c>
      <c r="B333">
        <v>103.65754687568899</v>
      </c>
      <c r="C333">
        <v>-5.2655655890703201E-3</v>
      </c>
      <c r="D333" s="3">
        <f t="shared" si="10"/>
        <v>104.66489160210227</v>
      </c>
      <c r="E333">
        <v>-8.5041224956512399E-3</v>
      </c>
      <c r="F333">
        <f t="shared" si="11"/>
        <v>104.32413411362219</v>
      </c>
    </row>
    <row r="334" spans="1:6">
      <c r="A334" s="1">
        <v>42979</v>
      </c>
      <c r="B334">
        <v>104.189560893649</v>
      </c>
      <c r="C334">
        <v>-6.1102290637791096E-3</v>
      </c>
      <c r="D334" s="3">
        <f t="shared" si="10"/>
        <v>103.02417552008912</v>
      </c>
      <c r="E334">
        <v>4.2980695143342001E-3</v>
      </c>
      <c r="F334">
        <f t="shared" si="11"/>
        <v>104.10307421784606</v>
      </c>
    </row>
    <row r="335" spans="1:6">
      <c r="A335" s="1">
        <v>43009</v>
      </c>
      <c r="B335">
        <v>106.257516227114</v>
      </c>
      <c r="C335">
        <v>1.9662196282297299E-3</v>
      </c>
      <c r="D335" s="3">
        <f t="shared" si="10"/>
        <v>104.39442045333473</v>
      </c>
      <c r="E335">
        <v>-2.6119647081941301E-3</v>
      </c>
      <c r="F335">
        <f t="shared" si="11"/>
        <v>103.91742143763254</v>
      </c>
    </row>
    <row r="336" spans="1:6">
      <c r="A336" s="1">
        <v>43040</v>
      </c>
      <c r="B336">
        <v>104.364269215796</v>
      </c>
      <c r="C336">
        <v>6.585035007447E-3</v>
      </c>
      <c r="D336" s="3">
        <f t="shared" si="10"/>
        <v>106.9572256912739</v>
      </c>
      <c r="E336">
        <v>2.1577322855591701E-2</v>
      </c>
      <c r="F336">
        <f t="shared" si="11"/>
        <v>108.55026896057971</v>
      </c>
    </row>
    <row r="337" spans="1:6">
      <c r="A337" s="1">
        <v>43070</v>
      </c>
      <c r="B337">
        <v>107.01733070501901</v>
      </c>
      <c r="C337">
        <v>5.9504806995391802E-3</v>
      </c>
      <c r="D337" s="3">
        <f t="shared" si="10"/>
        <v>104.98528678548611</v>
      </c>
      <c r="E337">
        <v>-4.4636228121817103E-3</v>
      </c>
      <c r="F337">
        <f t="shared" si="11"/>
        <v>103.8984264829477</v>
      </c>
    </row>
    <row r="338" spans="1:6">
      <c r="A338" s="1">
        <v>43101</v>
      </c>
      <c r="B338">
        <v>105.766455997386</v>
      </c>
      <c r="C338">
        <v>3.1813150271773299E-3</v>
      </c>
      <c r="D338" s="3">
        <f t="shared" si="10"/>
        <v>107.35778654735928</v>
      </c>
      <c r="E338">
        <v>-1.8200575141236099E-3</v>
      </c>
      <c r="F338">
        <f t="shared" si="11"/>
        <v>106.82255300812788</v>
      </c>
    </row>
    <row r="339" spans="1:6">
      <c r="A339" s="1">
        <v>43132</v>
      </c>
      <c r="B339">
        <v>106.407975572412</v>
      </c>
      <c r="C339">
        <v>2.8611402958631498E-3</v>
      </c>
      <c r="D339" s="3">
        <f t="shared" si="10"/>
        <v>106.06906866659077</v>
      </c>
      <c r="E339">
        <v>7.7225766144692898E-3</v>
      </c>
      <c r="F339">
        <f t="shared" si="11"/>
        <v>106.58324555706672</v>
      </c>
    </row>
    <row r="340" spans="1:6">
      <c r="A340" s="1">
        <v>43160</v>
      </c>
      <c r="B340">
        <v>107.473918154934</v>
      </c>
      <c r="C340">
        <v>2.6314536808058598E-4</v>
      </c>
      <c r="D340" s="3">
        <f t="shared" si="10"/>
        <v>106.43597633831071</v>
      </c>
      <c r="E340">
        <v>4.0308144525624801E-4</v>
      </c>
      <c r="F340">
        <f t="shared" si="11"/>
        <v>106.45086665299252</v>
      </c>
    </row>
    <row r="341" spans="1:6">
      <c r="A341" s="1">
        <v>43191</v>
      </c>
      <c r="B341">
        <v>107.358821478994</v>
      </c>
      <c r="C341">
        <v>5.8373166248202298E-3</v>
      </c>
      <c r="D341" s="3">
        <f t="shared" si="10"/>
        <v>108.10127744411436</v>
      </c>
      <c r="E341">
        <v>6.2849791720509503E-3</v>
      </c>
      <c r="F341">
        <f t="shared" si="11"/>
        <v>108.14938949207647</v>
      </c>
    </row>
    <row r="342" spans="1:6">
      <c r="A342" s="1">
        <v>43221</v>
      </c>
      <c r="B342">
        <v>108.067521422513</v>
      </c>
      <c r="C342">
        <v>7.9203872010111791E-3</v>
      </c>
      <c r="D342" s="3">
        <f t="shared" si="10"/>
        <v>108.20914491455187</v>
      </c>
      <c r="E342">
        <v>6.2142461538314802E-3</v>
      </c>
      <c r="F342">
        <f t="shared" si="11"/>
        <v>108.02597562244972</v>
      </c>
    </row>
    <row r="343" spans="1:6">
      <c r="A343" s="1">
        <v>43252</v>
      </c>
      <c r="B343">
        <v>108.58276119550101</v>
      </c>
      <c r="C343">
        <v>-2.0757359743583901E-4</v>
      </c>
      <c r="D343" s="3">
        <f t="shared" si="10"/>
        <v>108.04508945832535</v>
      </c>
      <c r="E343">
        <v>1.0509046260267401E-3</v>
      </c>
      <c r="F343">
        <f t="shared" si="11"/>
        <v>108.18109008069916</v>
      </c>
    </row>
    <row r="344" spans="1:6">
      <c r="A344" s="1">
        <v>43282</v>
      </c>
      <c r="B344">
        <v>107.731556078829</v>
      </c>
      <c r="C344">
        <v>-3.5923309624195099E-3</v>
      </c>
      <c r="D344" s="3">
        <f t="shared" si="10"/>
        <v>108.1926959804734</v>
      </c>
      <c r="E344">
        <v>-3.44536209013313E-4</v>
      </c>
      <c r="F344">
        <f t="shared" si="11"/>
        <v>108.54535050259452</v>
      </c>
    </row>
    <row r="345" spans="1:6">
      <c r="A345" s="1">
        <v>43313</v>
      </c>
      <c r="B345">
        <v>107.434488173117</v>
      </c>
      <c r="C345">
        <v>-9.0732157696038398E-4</v>
      </c>
      <c r="D345" s="3">
        <f t="shared" si="10"/>
        <v>107.63380891347916</v>
      </c>
      <c r="E345">
        <v>-1.8617903115227799E-3</v>
      </c>
      <c r="F345">
        <f t="shared" si="11"/>
        <v>107.53098251147617</v>
      </c>
    </row>
    <row r="346" spans="1:6">
      <c r="A346" s="1">
        <v>43344</v>
      </c>
      <c r="B346">
        <v>106.54405637212101</v>
      </c>
      <c r="C346">
        <v>-2.6211305521428498E-3</v>
      </c>
      <c r="D346" s="3">
        <f t="shared" si="10"/>
        <v>107.15288835381261</v>
      </c>
      <c r="E346">
        <v>-4.9144565127789896E-3</v>
      </c>
      <c r="F346">
        <f t="shared" si="11"/>
        <v>106.90650605301755</v>
      </c>
    </row>
    <row r="347" spans="1:6">
      <c r="A347" s="1">
        <v>43374</v>
      </c>
      <c r="B347">
        <v>106.096274489037</v>
      </c>
      <c r="C347">
        <v>-9.1685767984017697E-4</v>
      </c>
      <c r="D347" s="3">
        <f t="shared" si="10"/>
        <v>106.44637063579491</v>
      </c>
      <c r="E347">
        <v>-1.67256616987288E-3</v>
      </c>
      <c r="F347">
        <f t="shared" si="11"/>
        <v>106.36585438783197</v>
      </c>
    </row>
    <row r="348" spans="1:6">
      <c r="A348" s="1">
        <v>43405</v>
      </c>
      <c r="B348">
        <v>109.021484864413</v>
      </c>
      <c r="C348">
        <v>-5.2016641711816105E-4</v>
      </c>
      <c r="D348" s="3">
        <f t="shared" si="10"/>
        <v>106.04108677006646</v>
      </c>
      <c r="E348">
        <v>-1.7333204159513101E-3</v>
      </c>
      <c r="F348">
        <f t="shared" si="11"/>
        <v>105.91237565040878</v>
      </c>
    </row>
    <row r="349" spans="1:6">
      <c r="A349" s="1">
        <v>43435</v>
      </c>
      <c r="B349">
        <v>105.728795433912</v>
      </c>
      <c r="C349">
        <v>-1.25082093290984E-3</v>
      </c>
      <c r="D349" s="3">
        <f t="shared" si="10"/>
        <v>108.88511850900768</v>
      </c>
      <c r="E349">
        <v>7.1804143954068401E-4</v>
      </c>
      <c r="F349">
        <f t="shared" si="11"/>
        <v>109.0997668083459</v>
      </c>
    </row>
    <row r="350" spans="1:6">
      <c r="A350" s="1">
        <v>43466</v>
      </c>
      <c r="B350">
        <v>101.545790680346</v>
      </c>
      <c r="C350">
        <v>-2.8187397867441101E-2</v>
      </c>
      <c r="D350" s="3">
        <f t="shared" si="10"/>
        <v>102.74857581097103</v>
      </c>
      <c r="E350">
        <v>-7.1981549263000405E-2</v>
      </c>
      <c r="F350">
        <f t="shared" si="11"/>
        <v>98.118272936868166</v>
      </c>
    </row>
    <row r="351" spans="1:6">
      <c r="A351" s="1">
        <v>43497</v>
      </c>
      <c r="B351">
        <v>99.959134996548997</v>
      </c>
      <c r="C351">
        <v>-1.2595432810485301E-2</v>
      </c>
      <c r="D351" s="3">
        <f t="shared" si="10"/>
        <v>100.2667774966441</v>
      </c>
      <c r="E351">
        <v>2.2405320778489099E-2</v>
      </c>
      <c r="F351">
        <f t="shared" si="11"/>
        <v>103.82095669424446</v>
      </c>
    </row>
    <row r="352" spans="1:6">
      <c r="A352" s="1">
        <v>43525</v>
      </c>
      <c r="B352">
        <v>101.58894182160201</v>
      </c>
      <c r="C352">
        <v>-1.61375999450683E-2</v>
      </c>
      <c r="D352" s="3">
        <f t="shared" si="10"/>
        <v>98.346034465119615</v>
      </c>
      <c r="E352">
        <v>-7.3442109860479797E-3</v>
      </c>
      <c r="F352">
        <f t="shared" si="11"/>
        <v>99.225014019151487</v>
      </c>
    </row>
    <row r="353" spans="1:6">
      <c r="A353" s="1">
        <v>43556</v>
      </c>
      <c r="B353">
        <v>102.631531955998</v>
      </c>
      <c r="C353">
        <v>3.2727597281336702E-3</v>
      </c>
      <c r="D353" s="3">
        <f t="shared" si="10"/>
        <v>101.92141801921946</v>
      </c>
      <c r="E353">
        <v>-4.7448590397834702E-2</v>
      </c>
      <c r="F353">
        <f t="shared" si="11"/>
        <v>96.768689732159359</v>
      </c>
    </row>
    <row r="354" spans="1:6">
      <c r="A354" s="1">
        <v>43586</v>
      </c>
      <c r="B354">
        <v>102.26987592277401</v>
      </c>
      <c r="C354">
        <v>2.6801186613738502E-3</v>
      </c>
      <c r="D354" s="3">
        <f t="shared" si="10"/>
        <v>102.90659664003866</v>
      </c>
      <c r="E354">
        <v>4.3994750827550798E-2</v>
      </c>
      <c r="F354">
        <f t="shared" si="11"/>
        <v>107.14678063145195</v>
      </c>
    </row>
    <row r="355" spans="1:6">
      <c r="A355" s="1">
        <v>43617</v>
      </c>
      <c r="B355">
        <v>101.36650010708701</v>
      </c>
      <c r="C355">
        <v>4.4648060575127602E-3</v>
      </c>
      <c r="D355" s="3">
        <f t="shared" si="10"/>
        <v>102.72649108429509</v>
      </c>
      <c r="E355">
        <v>1.38715216889977E-2</v>
      </c>
      <c r="F355">
        <f t="shared" si="11"/>
        <v>103.68851472476787</v>
      </c>
    </row>
    <row r="356" spans="1:6">
      <c r="A356" s="1">
        <v>43647</v>
      </c>
      <c r="B356">
        <v>101.801437756464</v>
      </c>
      <c r="C356">
        <v>2.1120461169630198E-3</v>
      </c>
      <c r="D356" s="3">
        <f t="shared" si="10"/>
        <v>101.58059083002831</v>
      </c>
      <c r="E356">
        <v>3.2390959677286397E-4</v>
      </c>
      <c r="F356">
        <f t="shared" si="11"/>
        <v>101.39933368926297</v>
      </c>
    </row>
    <row r="357" spans="1:6">
      <c r="A357" s="1">
        <v>43678</v>
      </c>
      <c r="B357">
        <v>102.976383139361</v>
      </c>
      <c r="C357">
        <v>7.6321762753650503E-4</v>
      </c>
      <c r="D357" s="3">
        <f t="shared" si="10"/>
        <v>101.87913440826829</v>
      </c>
      <c r="E357">
        <v>2.8148682322353099E-3</v>
      </c>
      <c r="F357">
        <f t="shared" si="11"/>
        <v>102.08799538960055</v>
      </c>
    </row>
    <row r="358" spans="1:6">
      <c r="A358" s="1">
        <v>43709</v>
      </c>
      <c r="B358">
        <v>102.822549071284</v>
      </c>
      <c r="C358">
        <v>1.46594154648482E-3</v>
      </c>
      <c r="D358" s="3">
        <f t="shared" si="10"/>
        <v>103.12734049771173</v>
      </c>
      <c r="E358">
        <v>1.20242778211832E-3</v>
      </c>
      <c r="F358">
        <f t="shared" si="11"/>
        <v>103.10020480334984</v>
      </c>
    </row>
    <row r="359" spans="1:6">
      <c r="A359" s="1">
        <v>43739</v>
      </c>
      <c r="B359">
        <v>100.45242873173299</v>
      </c>
      <c r="C359">
        <v>-1.80787942372262E-3</v>
      </c>
      <c r="D359" s="3">
        <f t="shared" si="10"/>
        <v>102.63665830052332</v>
      </c>
      <c r="E359">
        <v>-0.104699164628982</v>
      </c>
      <c r="F359">
        <f t="shared" si="11"/>
        <v>92.05711407849806</v>
      </c>
    </row>
    <row r="360" spans="1:6">
      <c r="A360" s="1">
        <v>43770</v>
      </c>
      <c r="B360">
        <v>102.42251586015399</v>
      </c>
      <c r="C360">
        <v>-3.5765769425779499E-3</v>
      </c>
      <c r="D360" s="3">
        <f t="shared" si="10"/>
        <v>100.09315289130512</v>
      </c>
      <c r="E360">
        <v>8.55496898293495E-3</v>
      </c>
      <c r="F360">
        <f t="shared" si="11"/>
        <v>101.31179614379346</v>
      </c>
    </row>
    <row r="361" spans="1:6">
      <c r="A361" s="1">
        <v>43800</v>
      </c>
      <c r="B361">
        <v>101.919832957446</v>
      </c>
      <c r="C361">
        <v>-3.7782944273203598E-3</v>
      </c>
      <c r="D361" s="3">
        <f t="shared" si="10"/>
        <v>102.03553343924744</v>
      </c>
      <c r="E361">
        <v>8.6981438100337899E-2</v>
      </c>
      <c r="F361">
        <f t="shared" si="11"/>
        <v>111.33137358352485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Jung, Yonggeun</dc:creator>
  <cp:lastModifiedBy>Jung, Yonggeun</cp:lastModifiedBy>
  <dcterms:created xsi:type="dcterms:W3CDTF">2025-06-24T17:45:56Z</dcterms:created>
  <dcterms:modified xsi:type="dcterms:W3CDTF">2025-06-25T00:16:42Z</dcterms:modified>
</cp:coreProperties>
</file>