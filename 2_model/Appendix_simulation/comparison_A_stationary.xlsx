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nggeun/UFL Dropbox/Jung Yonggeun/Research/Monthly GDP_2506/monthly_gdp_estimation/2_model/Appendix_simulation/"/>
    </mc:Choice>
  </mc:AlternateContent>
  <xr:revisionPtr revIDLastSave="0" documentId="13_ncr:1_{0F1B4231-88F0-D34C-9D1E-7F3FE3035613}" xr6:coauthVersionLast="47" xr6:coauthVersionMax="47" xr10:uidLastSave="{00000000-0000-0000-0000-000000000000}"/>
  <bookViews>
    <workbookView xWindow="9020" yWindow="500" windowWidth="27700" windowHeight="16880" xr2:uid="{5F4BC430-DE58-1C45-A7D2-78DDAD7AC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6" i="1"/>
  <c r="G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5" i="1"/>
  <c r="E6" i="1"/>
  <c r="E4" i="1"/>
  <c r="E3" i="1"/>
</calcChain>
</file>

<file path=xl/sharedStrings.xml><?xml version="1.0" encoding="utf-8"?>
<sst xmlns="http://schemas.openxmlformats.org/spreadsheetml/2006/main" count="7" uniqueCount="7">
  <si>
    <t>DATE</t>
  </si>
  <si>
    <t>y_true</t>
  </si>
  <si>
    <t>MLP_level_A</t>
    <phoneticPr fontId="1" type="noConversion"/>
  </si>
  <si>
    <t>MLP_diff_A</t>
    <phoneticPr fontId="1" type="noConversion"/>
  </si>
  <si>
    <t>LSTM_diff_A</t>
    <phoneticPr fontId="1" type="noConversion"/>
  </si>
  <si>
    <t>LSTM_level_A</t>
    <phoneticPr fontId="1" type="noConversion"/>
  </si>
  <si>
    <t>y_diff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</si>
</sst>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18E0-37E9-1B44-954D-4A3097FBE7B5}">
  <dimension ref="A1:I361"/>
  <sheetViews>
    <sheetView tabSelected="1" workbookViewId="0">
      <selection activeCell="I5" sqref="H5:I5"/>
    </sheetView>
  </sheetViews>
  <sheetFormatPr baseColWidth="10" defaultRowHeight="18"/>
  <sheetData>
    <row r="1" spans="1:9">
      <c r="A1" t="s">
        <v>0</v>
      </c>
      <c r="B1" t="s">
        <v>1</v>
      </c>
      <c r="C1" t="s">
        <v>6</v>
      </c>
      <c r="D1" s="2" t="s">
        <v>3</v>
      </c>
      <c r="E1" t="s">
        <v>2</v>
      </c>
      <c r="F1" s="2" t="s">
        <v>4</v>
      </c>
      <c r="G1" t="s">
        <v>5</v>
      </c>
      <c r="H1" s="2"/>
      <c r="I1" s="2"/>
    </row>
    <row r="2" spans="1:9">
      <c r="A2" s="1">
        <v>32874</v>
      </c>
      <c r="B2">
        <v>102.677875473263</v>
      </c>
      <c r="D2" s="2">
        <v>3.5547500000000002E-3</v>
      </c>
    </row>
    <row r="3" spans="1:9">
      <c r="A3" s="1">
        <v>32905</v>
      </c>
      <c r="B3">
        <v>102.467117960011</v>
      </c>
      <c r="C3">
        <f>LN(B3)-LN(B2)</f>
        <v>-2.0547183128769575E-3</v>
      </c>
      <c r="D3" s="4">
        <v>7.4400000000000006E-5</v>
      </c>
      <c r="E3" s="3">
        <f>B2*D3+B2</f>
        <v>102.68551470719821</v>
      </c>
    </row>
    <row r="4" spans="1:9">
      <c r="A4" s="1">
        <v>32933</v>
      </c>
      <c r="B4">
        <v>100.88016596999699</v>
      </c>
      <c r="C4">
        <f t="shared" ref="C4:C67" si="0">LN(B4)-LN(B3)</f>
        <v>-1.5608609843546617E-2</v>
      </c>
      <c r="D4" s="2">
        <v>4.4664600000000002E-3</v>
      </c>
      <c r="E4" s="3">
        <f>B3*D4+B3</f>
        <v>102.92478324369466</v>
      </c>
    </row>
    <row r="5" spans="1:9">
      <c r="A5" s="1">
        <v>32964</v>
      </c>
      <c r="B5">
        <v>99.742040505084802</v>
      </c>
      <c r="C5">
        <f t="shared" si="0"/>
        <v>-1.1346078726339748E-2</v>
      </c>
      <c r="D5" s="2">
        <v>-2.41298E-2</v>
      </c>
      <c r="E5" s="3">
        <f t="shared" ref="E5:E68" si="1">B4*D5+B4</f>
        <v>98.445947741174166</v>
      </c>
      <c r="F5">
        <v>-0.141362324357032</v>
      </c>
      <c r="G5">
        <f>B4*F5+B4</f>
        <v>86.619511226955055</v>
      </c>
    </row>
    <row r="6" spans="1:9">
      <c r="A6" s="1">
        <v>32994</v>
      </c>
      <c r="B6">
        <v>98.144437267706707</v>
      </c>
      <c r="C6">
        <f t="shared" si="0"/>
        <v>-1.6147014860361075E-2</v>
      </c>
      <c r="D6" s="2">
        <v>-4.7532E-3</v>
      </c>
      <c r="E6" s="3">
        <f t="shared" si="1"/>
        <v>99.267946638156033</v>
      </c>
      <c r="F6">
        <v>0.328180402517318</v>
      </c>
      <c r="G6">
        <f>B5*F6+B5</f>
        <v>132.47542350594216</v>
      </c>
      <c r="H6" s="3"/>
    </row>
    <row r="7" spans="1:9">
      <c r="A7" s="1">
        <v>33025</v>
      </c>
      <c r="B7">
        <v>98.288632653083894</v>
      </c>
      <c r="C7">
        <f t="shared" si="0"/>
        <v>1.4681378378451626E-3</v>
      </c>
      <c r="D7" s="2">
        <v>-3.8333999999999998E-3</v>
      </c>
      <c r="E7" s="3">
        <f t="shared" si="1"/>
        <v>97.768210381884685</v>
      </c>
      <c r="F7">
        <v>-0.219534516334533</v>
      </c>
      <c r="G7">
        <f t="shared" ref="G7:G70" si="2">B6*F7+B6</f>
        <v>76.598345701215806</v>
      </c>
      <c r="H7" s="3"/>
    </row>
    <row r="8" spans="1:9">
      <c r="A8" s="1">
        <v>33055</v>
      </c>
      <c r="B8">
        <v>101.79803050915299</v>
      </c>
      <c r="C8">
        <f t="shared" si="0"/>
        <v>3.5082376132363535E-2</v>
      </c>
      <c r="D8" s="2">
        <v>1.025351E-2</v>
      </c>
      <c r="E8" s="3">
        <f t="shared" si="1"/>
        <v>99.296436130878618</v>
      </c>
      <c r="F8">
        <v>7.4300873093307001E-3</v>
      </c>
      <c r="G8">
        <f t="shared" si="2"/>
        <v>99.018925775211045</v>
      </c>
    </row>
    <row r="9" spans="1:9">
      <c r="A9" s="1">
        <v>33086</v>
      </c>
      <c r="B9">
        <v>101.376497997652</v>
      </c>
      <c r="C9">
        <f t="shared" si="0"/>
        <v>-4.1494681388529742E-3</v>
      </c>
      <c r="D9" s="2">
        <v>3.787364E-2</v>
      </c>
      <c r="E9" s="3">
        <f t="shared" si="1"/>
        <v>105.65349246936567</v>
      </c>
      <c r="F9">
        <v>5.7296128943562499E-3</v>
      </c>
      <c r="G9">
        <f t="shared" si="2"/>
        <v>102.38129381737831</v>
      </c>
    </row>
    <row r="10" spans="1:9">
      <c r="A10" s="1">
        <v>33117</v>
      </c>
      <c r="B10">
        <v>98.017695231291299</v>
      </c>
      <c r="C10">
        <f t="shared" si="0"/>
        <v>-3.3693263166447274E-2</v>
      </c>
      <c r="D10" s="2">
        <v>-3.1329299999999997E-2</v>
      </c>
      <c r="E10" s="3">
        <f t="shared" si="1"/>
        <v>98.200443278934159</v>
      </c>
      <c r="F10">
        <v>3.6381087265908701E-3</v>
      </c>
      <c r="G10">
        <f t="shared" si="2"/>
        <v>101.74531671968847</v>
      </c>
    </row>
    <row r="11" spans="1:9">
      <c r="A11" s="1">
        <v>33147</v>
      </c>
      <c r="B11">
        <v>102.536721091654</v>
      </c>
      <c r="C11">
        <f t="shared" si="0"/>
        <v>4.5072963017810608E-2</v>
      </c>
      <c r="D11" s="2">
        <v>-2.5428E-3</v>
      </c>
      <c r="E11" s="3">
        <f t="shared" si="1"/>
        <v>97.768455835857168</v>
      </c>
      <c r="F11">
        <v>8.1688811769708904E-4</v>
      </c>
      <c r="G11">
        <f t="shared" si="2"/>
        <v>98.097764721849799</v>
      </c>
    </row>
    <row r="12" spans="1:9">
      <c r="A12" s="1">
        <v>33178</v>
      </c>
      <c r="B12">
        <v>98.748985009094795</v>
      </c>
      <c r="C12">
        <f t="shared" si="0"/>
        <v>-3.7639863633851078E-2</v>
      </c>
      <c r="D12" s="2">
        <v>1.3549199999999999E-3</v>
      </c>
      <c r="E12" s="3">
        <f t="shared" si="1"/>
        <v>102.6756501457955</v>
      </c>
      <c r="F12">
        <v>-5.2500976016744895E-4</v>
      </c>
      <c r="G12">
        <f t="shared" si="2"/>
        <v>102.48288831230532</v>
      </c>
    </row>
    <row r="13" spans="1:9">
      <c r="A13" s="1">
        <v>33208</v>
      </c>
      <c r="B13">
        <v>100.160768812062</v>
      </c>
      <c r="C13">
        <f t="shared" si="0"/>
        <v>1.4195457822111734E-2</v>
      </c>
      <c r="D13" s="2">
        <v>2.0317199999999999E-3</v>
      </c>
      <c r="E13" s="3">
        <f t="shared" si="1"/>
        <v>98.949615296917472</v>
      </c>
      <c r="F13">
        <v>5.5191473802551595E-4</v>
      </c>
      <c r="G13">
        <f t="shared" si="2"/>
        <v>98.803486029286375</v>
      </c>
    </row>
    <row r="14" spans="1:9">
      <c r="A14" s="1">
        <v>33239</v>
      </c>
      <c r="B14">
        <v>103.45216076143601</v>
      </c>
      <c r="C14">
        <f t="shared" si="0"/>
        <v>3.2332707824246576E-2</v>
      </c>
      <c r="D14" s="2">
        <v>-8.1951000000000003E-3</v>
      </c>
      <c r="E14" s="3">
        <f t="shared" si="1"/>
        <v>99.33994129557027</v>
      </c>
      <c r="F14">
        <v>4.0252741426229401E-2</v>
      </c>
      <c r="G14">
        <f t="shared" si="2"/>
        <v>104.19251434010627</v>
      </c>
    </row>
    <row r="15" spans="1:9">
      <c r="A15" s="1">
        <v>33270</v>
      </c>
      <c r="B15">
        <v>101.071406426942</v>
      </c>
      <c r="C15">
        <f t="shared" si="0"/>
        <v>-2.3282029621190858E-2</v>
      </c>
      <c r="D15" s="2">
        <v>1.7142839999999999E-2</v>
      </c>
      <c r="E15" s="3">
        <f t="shared" si="1"/>
        <v>105.22562460102358</v>
      </c>
      <c r="F15">
        <v>-2.14860569685697E-2</v>
      </c>
      <c r="G15">
        <f t="shared" si="2"/>
        <v>101.22938174179416</v>
      </c>
    </row>
    <row r="16" spans="1:9">
      <c r="A16" s="1">
        <v>33298</v>
      </c>
      <c r="B16">
        <v>101.44362713238699</v>
      </c>
      <c r="C16">
        <f t="shared" si="0"/>
        <v>3.675985116267988E-3</v>
      </c>
      <c r="D16" s="2">
        <v>5.9376699999999999E-3</v>
      </c>
      <c r="E16" s="3">
        <f t="shared" si="1"/>
        <v>101.67153508474107</v>
      </c>
      <c r="F16">
        <v>-3.8812665734440002E-3</v>
      </c>
      <c r="G16">
        <f t="shared" si="2"/>
        <v>100.67912135564615</v>
      </c>
    </row>
    <row r="17" spans="1:7">
      <c r="A17" s="1">
        <v>33329</v>
      </c>
      <c r="B17">
        <v>98.543882468275399</v>
      </c>
      <c r="C17">
        <f t="shared" si="0"/>
        <v>-2.9001290219659914E-2</v>
      </c>
      <c r="D17" s="2">
        <v>-1.8041000000000001E-3</v>
      </c>
      <c r="E17" s="3">
        <f t="shared" si="1"/>
        <v>101.26061268467745</v>
      </c>
      <c r="F17">
        <v>-2.50366944819688E-2</v>
      </c>
      <c r="G17">
        <f t="shared" si="2"/>
        <v>98.903814032730665</v>
      </c>
    </row>
    <row r="18" spans="1:7">
      <c r="A18" s="1">
        <v>33359</v>
      </c>
      <c r="B18">
        <v>97.056423050316397</v>
      </c>
      <c r="C18">
        <f t="shared" si="0"/>
        <v>-1.5209465937567224E-2</v>
      </c>
      <c r="D18" s="2">
        <v>-7.3238800000000007E-2</v>
      </c>
      <c r="E18" s="3">
        <f t="shared" si="1"/>
        <v>91.326646768957872</v>
      </c>
      <c r="F18">
        <v>-3.8143822457641298E-3</v>
      </c>
      <c r="G18">
        <f t="shared" si="2"/>
        <v>98.167998432559742</v>
      </c>
    </row>
    <row r="19" spans="1:7">
      <c r="A19" s="1">
        <v>33390</v>
      </c>
      <c r="B19">
        <v>99.280043746782496</v>
      </c>
      <c r="C19">
        <f t="shared" si="0"/>
        <v>2.2652091212988168E-2</v>
      </c>
      <c r="D19" s="2">
        <v>3.8134759999999997E-2</v>
      </c>
      <c r="E19" s="3">
        <f t="shared" si="1"/>
        <v>100.75764644979868</v>
      </c>
      <c r="F19">
        <v>-8.05713236331939E-3</v>
      </c>
      <c r="G19">
        <f t="shared" si="2"/>
        <v>96.27442660308968</v>
      </c>
    </row>
    <row r="20" spans="1:7">
      <c r="A20" s="1">
        <v>33420</v>
      </c>
      <c r="B20">
        <v>101.60988782199099</v>
      </c>
      <c r="C20">
        <f t="shared" si="0"/>
        <v>2.3196269954889992E-2</v>
      </c>
      <c r="D20" s="2">
        <v>-1.24691E-2</v>
      </c>
      <c r="E20" s="3">
        <f t="shared" si="1"/>
        <v>98.042110953299485</v>
      </c>
      <c r="F20">
        <v>4.7326661646366099E-2</v>
      </c>
      <c r="G20">
        <f t="shared" si="2"/>
        <v>103.97863678542289</v>
      </c>
    </row>
    <row r="21" spans="1:7">
      <c r="A21" s="1">
        <v>33451</v>
      </c>
      <c r="B21">
        <v>97.547112863953203</v>
      </c>
      <c r="C21">
        <f t="shared" si="0"/>
        <v>-4.0805381334528157E-2</v>
      </c>
      <c r="D21" s="2">
        <v>-1.787E-3</v>
      </c>
      <c r="E21" s="3">
        <f t="shared" si="1"/>
        <v>101.4283109524531</v>
      </c>
      <c r="F21">
        <v>8.4598556160926805E-2</v>
      </c>
      <c r="G21">
        <f t="shared" si="2"/>
        <v>110.20593762340518</v>
      </c>
    </row>
    <row r="22" spans="1:7">
      <c r="A22" s="1">
        <v>33482</v>
      </c>
      <c r="B22">
        <v>102.84500199656</v>
      </c>
      <c r="C22">
        <f t="shared" si="0"/>
        <v>5.2887549686365887E-2</v>
      </c>
      <c r="D22" s="2">
        <v>3.812012E-2</v>
      </c>
      <c r="E22" s="3">
        <f t="shared" si="1"/>
        <v>101.26562051198064</v>
      </c>
      <c r="F22">
        <v>-0.10806123912334401</v>
      </c>
      <c r="G22">
        <f t="shared" si="2"/>
        <v>87.006050974969725</v>
      </c>
    </row>
    <row r="23" spans="1:7">
      <c r="A23" s="1">
        <v>33512</v>
      </c>
      <c r="B23">
        <v>100.668263059103</v>
      </c>
      <c r="C23">
        <f t="shared" si="0"/>
        <v>-2.1392433059388871E-2</v>
      </c>
      <c r="D23" s="2">
        <v>1.88448E-3</v>
      </c>
      <c r="E23" s="3">
        <f t="shared" si="1"/>
        <v>103.03881134592248</v>
      </c>
      <c r="F23">
        <v>2.4109398946165999E-3</v>
      </c>
      <c r="G23">
        <f t="shared" si="2"/>
        <v>103.09295511483543</v>
      </c>
    </row>
    <row r="24" spans="1:7">
      <c r="A24" s="1">
        <v>33543</v>
      </c>
      <c r="B24">
        <v>103.79751508667501</v>
      </c>
      <c r="C24">
        <f t="shared" si="0"/>
        <v>3.0611444226475548E-2</v>
      </c>
      <c r="D24" s="2">
        <v>-3.1576999999999998E-3</v>
      </c>
      <c r="E24" s="3">
        <f t="shared" si="1"/>
        <v>100.35038288484127</v>
      </c>
      <c r="F24">
        <v>-5.4924422875046704E-3</v>
      </c>
      <c r="G24">
        <f t="shared" si="2"/>
        <v>100.11534843406754</v>
      </c>
    </row>
    <row r="25" spans="1:7">
      <c r="A25" s="1">
        <v>33573</v>
      </c>
      <c r="B25">
        <v>98.074055697350204</v>
      </c>
      <c r="C25">
        <f t="shared" si="0"/>
        <v>-5.6719167333914022E-2</v>
      </c>
      <c r="D25" s="2">
        <v>3.05251E-3</v>
      </c>
      <c r="E25" s="3">
        <f t="shared" si="1"/>
        <v>104.11435803945223</v>
      </c>
      <c r="F25">
        <v>4.8608044162392599E-3</v>
      </c>
      <c r="G25">
        <f t="shared" si="2"/>
        <v>104.30205450640298</v>
      </c>
    </row>
    <row r="26" spans="1:7">
      <c r="A26" s="1">
        <v>33604</v>
      </c>
      <c r="B26">
        <v>99.594015866001101</v>
      </c>
      <c r="C26">
        <f t="shared" si="0"/>
        <v>1.5379217442330173E-2</v>
      </c>
      <c r="D26" s="2">
        <v>5.0484900000000001E-3</v>
      </c>
      <c r="E26" s="3">
        <f t="shared" si="1"/>
        <v>98.569181586797725</v>
      </c>
      <c r="F26">
        <v>-1.7967713996767901E-2</v>
      </c>
      <c r="G26">
        <f t="shared" si="2"/>
        <v>96.311889114077132</v>
      </c>
    </row>
    <row r="27" spans="1:7">
      <c r="A27" s="1">
        <v>33635</v>
      </c>
      <c r="B27">
        <v>100.988950090437</v>
      </c>
      <c r="C27">
        <f t="shared" si="0"/>
        <v>1.3909024691991512E-2</v>
      </c>
      <c r="D27" s="2">
        <v>-3.1464000000000002E-3</v>
      </c>
      <c r="E27" s="3">
        <f t="shared" si="1"/>
        <v>99.280653254480313</v>
      </c>
      <c r="F27">
        <v>3.2038696110248503E-2</v>
      </c>
      <c r="G27">
        <f t="shared" si="2"/>
        <v>102.78487827473118</v>
      </c>
    </row>
    <row r="28" spans="1:7">
      <c r="A28" s="1">
        <v>33664</v>
      </c>
      <c r="B28">
        <v>97.539901227571306</v>
      </c>
      <c r="C28">
        <f t="shared" si="0"/>
        <v>-3.4749568164629707E-2</v>
      </c>
      <c r="D28" s="2">
        <v>-1.66094E-2</v>
      </c>
      <c r="E28" s="3">
        <f t="shared" si="1"/>
        <v>99.311584222804896</v>
      </c>
      <c r="F28">
        <v>-2.8778227046132001E-2</v>
      </c>
      <c r="G28">
        <f t="shared" si="2"/>
        <v>98.082667155583906</v>
      </c>
    </row>
    <row r="29" spans="1:7">
      <c r="A29" s="1">
        <v>33695</v>
      </c>
      <c r="B29">
        <v>105.15502038705399</v>
      </c>
      <c r="C29">
        <f t="shared" si="0"/>
        <v>7.5174108365560599E-2</v>
      </c>
      <c r="D29" s="2">
        <v>5.5284970000000003E-2</v>
      </c>
      <c r="E29" s="3">
        <f t="shared" si="1"/>
        <v>102.93239174074054</v>
      </c>
      <c r="F29">
        <v>3.3453274518251398E-2</v>
      </c>
      <c r="G29">
        <f t="shared" si="2"/>
        <v>100.80293031982038</v>
      </c>
    </row>
    <row r="30" spans="1:7">
      <c r="A30" s="1">
        <v>33725</v>
      </c>
      <c r="B30">
        <v>100.08206090937</v>
      </c>
      <c r="C30">
        <f t="shared" si="0"/>
        <v>-4.9445187445608774E-2</v>
      </c>
      <c r="D30" s="2">
        <v>-1.36939E-2</v>
      </c>
      <c r="E30" s="3">
        <f t="shared" si="1"/>
        <v>103.71503805337572</v>
      </c>
      <c r="F30">
        <v>-2.6457393541932099E-2</v>
      </c>
      <c r="G30">
        <f t="shared" si="2"/>
        <v>102.37289262976381</v>
      </c>
    </row>
    <row r="31" spans="1:7">
      <c r="A31" s="1">
        <v>33756</v>
      </c>
      <c r="B31">
        <v>100.557072174412</v>
      </c>
      <c r="C31">
        <f t="shared" si="0"/>
        <v>4.7349900812010404E-3</v>
      </c>
      <c r="D31" s="2">
        <v>-1.61846E-2</v>
      </c>
      <c r="E31" s="3">
        <f t="shared" si="1"/>
        <v>98.462272786376204</v>
      </c>
      <c r="F31">
        <v>1.8410585820674799E-2</v>
      </c>
      <c r="G31">
        <f t="shared" si="2"/>
        <v>101.92463028085196</v>
      </c>
    </row>
    <row r="32" spans="1:7">
      <c r="A32" s="1">
        <v>33786</v>
      </c>
      <c r="B32">
        <v>100.96647491621999</v>
      </c>
      <c r="C32">
        <f t="shared" si="0"/>
        <v>4.0630815697877409E-3</v>
      </c>
      <c r="D32" s="2">
        <v>-2.9839999999999999E-4</v>
      </c>
      <c r="E32" s="3">
        <f t="shared" si="1"/>
        <v>100.52706594407516</v>
      </c>
      <c r="F32">
        <v>-4.2206665966659698E-4</v>
      </c>
      <c r="G32">
        <f t="shared" si="2"/>
        <v>100.5146303868535</v>
      </c>
    </row>
    <row r="33" spans="1:8">
      <c r="A33" s="1">
        <v>33817</v>
      </c>
      <c r="B33">
        <v>102.543613306387</v>
      </c>
      <c r="C33">
        <f t="shared" si="0"/>
        <v>1.5499673535694036E-2</v>
      </c>
      <c r="D33" s="2">
        <v>1.3577299999999999E-3</v>
      </c>
      <c r="E33" s="3">
        <f t="shared" si="1"/>
        <v>101.10356012820799</v>
      </c>
      <c r="F33">
        <v>2.2148364223539799E-3</v>
      </c>
      <c r="G33">
        <f t="shared" si="2"/>
        <v>101.19009914230112</v>
      </c>
    </row>
    <row r="34" spans="1:8">
      <c r="A34" s="1">
        <v>33848</v>
      </c>
      <c r="B34">
        <v>102.815240614739</v>
      </c>
      <c r="C34">
        <f t="shared" si="0"/>
        <v>2.6453932866479235E-3</v>
      </c>
      <c r="D34" s="2">
        <v>6.7619999999999996E-4</v>
      </c>
      <c r="E34" s="3">
        <f t="shared" si="1"/>
        <v>102.61295329770478</v>
      </c>
      <c r="F34" s="3">
        <v>-5.72408898733556E-5</v>
      </c>
      <c r="G34">
        <f t="shared" si="2"/>
        <v>102.53774361871052</v>
      </c>
    </row>
    <row r="35" spans="1:8">
      <c r="A35" s="1">
        <v>33878</v>
      </c>
      <c r="B35">
        <v>101.136845033379</v>
      </c>
      <c r="C35">
        <f t="shared" si="0"/>
        <v>-1.6459095928268219E-2</v>
      </c>
      <c r="D35" s="2">
        <v>2.95496E-3</v>
      </c>
      <c r="E35" s="3">
        <f t="shared" si="1"/>
        <v>103.11905553814593</v>
      </c>
      <c r="F35">
        <v>-1.7628787085413902E-2</v>
      </c>
      <c r="G35">
        <f t="shared" si="2"/>
        <v>101.00273262880616</v>
      </c>
    </row>
    <row r="36" spans="1:8">
      <c r="A36" s="1">
        <v>33909</v>
      </c>
      <c r="B36">
        <v>102.074444748269</v>
      </c>
      <c r="C36">
        <f t="shared" si="0"/>
        <v>9.2278964348642134E-3</v>
      </c>
      <c r="D36" s="2">
        <v>-1.37628E-2</v>
      </c>
      <c r="E36" s="3">
        <f t="shared" si="1"/>
        <v>99.744918862553618</v>
      </c>
      <c r="F36">
        <v>-1.0364163666963499E-2</v>
      </c>
      <c r="G36">
        <f t="shared" si="2"/>
        <v>100.08864621869274</v>
      </c>
    </row>
    <row r="37" spans="1:8">
      <c r="A37" s="1">
        <v>33939</v>
      </c>
      <c r="B37">
        <v>97.812329718596402</v>
      </c>
      <c r="C37">
        <f t="shared" si="0"/>
        <v>-4.2651757709343485E-2</v>
      </c>
      <c r="D37" s="2">
        <v>-6.6511000000000001E-3</v>
      </c>
      <c r="E37" s="3">
        <f t="shared" si="1"/>
        <v>101.39553740880379</v>
      </c>
      <c r="F37">
        <v>1.0533980093896301E-2</v>
      </c>
      <c r="G37">
        <f t="shared" si="2"/>
        <v>103.14969491734279</v>
      </c>
    </row>
    <row r="38" spans="1:8">
      <c r="A38" s="1">
        <v>33970</v>
      </c>
      <c r="B38">
        <v>101.268501263445</v>
      </c>
      <c r="C38">
        <f t="shared" si="0"/>
        <v>3.4724777984858513E-2</v>
      </c>
      <c r="D38" s="2">
        <v>1.58592E-3</v>
      </c>
      <c r="E38" s="3">
        <f t="shared" si="1"/>
        <v>97.967452248543722</v>
      </c>
      <c r="F38" s="3">
        <v>2.14455449167871E-5</v>
      </c>
      <c r="G38">
        <f t="shared" si="2"/>
        <v>97.814427357306798</v>
      </c>
    </row>
    <row r="39" spans="1:8">
      <c r="A39" s="1">
        <v>34001</v>
      </c>
      <c r="B39">
        <v>100.094513004568</v>
      </c>
      <c r="C39">
        <f t="shared" si="0"/>
        <v>-1.1660548142087279E-2</v>
      </c>
      <c r="D39" s="2">
        <v>-2.0525999999999999E-3</v>
      </c>
      <c r="E39" s="3">
        <f t="shared" si="1"/>
        <v>101.06063753775166</v>
      </c>
      <c r="F39">
        <v>-6.1355775687843496E-4</v>
      </c>
      <c r="G39">
        <f t="shared" si="2"/>
        <v>101.20636718896736</v>
      </c>
    </row>
    <row r="40" spans="1:8">
      <c r="A40" s="1">
        <v>34029</v>
      </c>
      <c r="B40">
        <v>98.950373105591694</v>
      </c>
      <c r="C40">
        <f t="shared" si="0"/>
        <v>-1.1496426990405872E-2</v>
      </c>
      <c r="D40" s="2">
        <v>-1.8955E-3</v>
      </c>
      <c r="E40" s="3">
        <f t="shared" si="1"/>
        <v>99.904783855167835</v>
      </c>
      <c r="F40">
        <v>-1.7700655153021199E-3</v>
      </c>
      <c r="G40">
        <f t="shared" si="2"/>
        <v>99.917339158827659</v>
      </c>
    </row>
    <row r="41" spans="1:8">
      <c r="A41" s="1">
        <v>34060</v>
      </c>
      <c r="B41">
        <v>100.960867819868</v>
      </c>
      <c r="C41">
        <f t="shared" si="0"/>
        <v>2.0114551746927667E-2</v>
      </c>
      <c r="D41" s="2">
        <v>9.7616000000000001E-4</v>
      </c>
      <c r="E41" s="3">
        <f t="shared" si="1"/>
        <v>99.046964501802449</v>
      </c>
      <c r="F41">
        <v>-9.1884575784206293E-2</v>
      </c>
      <c r="G41">
        <f t="shared" si="2"/>
        <v>89.858360049095467</v>
      </c>
    </row>
    <row r="42" spans="1:8">
      <c r="A42" s="1">
        <v>34090</v>
      </c>
      <c r="B42">
        <v>103.202773154271</v>
      </c>
      <c r="C42">
        <f t="shared" si="0"/>
        <v>2.1962729900227629E-2</v>
      </c>
      <c r="D42" s="2">
        <v>6.2506799999999998E-3</v>
      </c>
      <c r="E42" s="3">
        <f t="shared" si="1"/>
        <v>101.59194189713229</v>
      </c>
      <c r="F42">
        <v>9.2632226645946503E-2</v>
      </c>
      <c r="G42">
        <f t="shared" si="2"/>
        <v>110.31309781012946</v>
      </c>
    </row>
    <row r="43" spans="1:8">
      <c r="A43" s="1">
        <v>34121</v>
      </c>
      <c r="B43">
        <v>98.600342502751602</v>
      </c>
      <c r="C43">
        <f t="shared" si="0"/>
        <v>-4.5620989075043639E-2</v>
      </c>
      <c r="D43" s="2">
        <v>9.0017000000000005E-4</v>
      </c>
      <c r="E43" s="3">
        <f t="shared" si="1"/>
        <v>103.29567319458128</v>
      </c>
      <c r="F43">
        <v>7.3793651536107003E-3</v>
      </c>
      <c r="G43">
        <f t="shared" si="2"/>
        <v>103.96434410224161</v>
      </c>
    </row>
    <row r="44" spans="1:8">
      <c r="A44" s="1">
        <v>34151</v>
      </c>
      <c r="B44">
        <v>97.998168823364693</v>
      </c>
      <c r="C44">
        <f t="shared" si="0"/>
        <v>-6.1259422411694686E-3</v>
      </c>
      <c r="D44" s="2">
        <v>-5.10216E-2</v>
      </c>
      <c r="E44" s="3">
        <f t="shared" si="1"/>
        <v>93.569595267713211</v>
      </c>
      <c r="F44">
        <v>-5.3323716856539197E-3</v>
      </c>
      <c r="G44">
        <f t="shared" si="2"/>
        <v>98.074568828194145</v>
      </c>
    </row>
    <row r="45" spans="1:8">
      <c r="A45" s="1">
        <v>34182</v>
      </c>
      <c r="B45">
        <v>99.697778951270493</v>
      </c>
      <c r="C45">
        <f t="shared" si="0"/>
        <v>1.719460638027126E-2</v>
      </c>
      <c r="D45" s="2">
        <v>2.8371469999999999E-2</v>
      </c>
      <c r="E45" s="3">
        <f t="shared" si="1"/>
        <v>100.77852093019172</v>
      </c>
      <c r="F45">
        <v>-3.8908065762370799E-3</v>
      </c>
      <c r="G45">
        <f t="shared" si="2"/>
        <v>97.616876903647551</v>
      </c>
      <c r="H45" s="3"/>
    </row>
    <row r="46" spans="1:8">
      <c r="A46" s="1">
        <v>34213</v>
      </c>
      <c r="B46">
        <v>98.253648256806002</v>
      </c>
      <c r="C46">
        <f t="shared" si="0"/>
        <v>-1.4591016955622038E-2</v>
      </c>
      <c r="D46" s="2">
        <v>-1.143E-4</v>
      </c>
      <c r="E46" s="3">
        <f t="shared" si="1"/>
        <v>99.686383495136369</v>
      </c>
      <c r="F46">
        <v>-1.3541235588490901E-2</v>
      </c>
      <c r="G46">
        <f t="shared" si="2"/>
        <v>98.347747838842054</v>
      </c>
    </row>
    <row r="47" spans="1:8">
      <c r="A47" s="1">
        <v>34243</v>
      </c>
      <c r="B47">
        <v>98.645365393794293</v>
      </c>
      <c r="C47">
        <f t="shared" si="0"/>
        <v>3.9788686241868376E-3</v>
      </c>
      <c r="D47" s="2">
        <v>0.47858520999999998</v>
      </c>
      <c r="E47" s="3">
        <f t="shared" si="1"/>
        <v>145.27639114105563</v>
      </c>
      <c r="F47">
        <v>8.9639527723193099E-3</v>
      </c>
      <c r="G47">
        <f t="shared" si="2"/>
        <v>99.134389319488079</v>
      </c>
    </row>
    <row r="48" spans="1:8">
      <c r="A48" s="1">
        <v>34274</v>
      </c>
      <c r="B48">
        <v>101.528272208098</v>
      </c>
      <c r="C48">
        <f t="shared" si="0"/>
        <v>2.8806052548872252E-2</v>
      </c>
      <c r="D48" s="2">
        <v>-7.1854899999999999E-2</v>
      </c>
      <c r="E48" s="3">
        <f t="shared" si="1"/>
        <v>91.557212527959749</v>
      </c>
      <c r="F48">
        <v>7.1987131377682003E-4</v>
      </c>
      <c r="G48">
        <f t="shared" si="2"/>
        <v>98.716377362578314</v>
      </c>
    </row>
    <row r="49" spans="1:7">
      <c r="A49" s="1">
        <v>34304</v>
      </c>
      <c r="B49">
        <v>99.571059881353804</v>
      </c>
      <c r="C49">
        <f t="shared" si="0"/>
        <v>-1.946574468923945E-2</v>
      </c>
      <c r="D49" s="2">
        <v>-0.39398840000000002</v>
      </c>
      <c r="E49" s="3">
        <f t="shared" si="1"/>
        <v>61.527310686065</v>
      </c>
      <c r="F49">
        <v>3.0581243336200701E-3</v>
      </c>
      <c r="G49">
        <f t="shared" si="2"/>
        <v>101.83875828788798</v>
      </c>
    </row>
    <row r="50" spans="1:7">
      <c r="A50" s="1">
        <v>34335</v>
      </c>
      <c r="B50">
        <v>101.799861652221</v>
      </c>
      <c r="C50">
        <f t="shared" si="0"/>
        <v>2.2137186171393708E-2</v>
      </c>
      <c r="D50" s="2">
        <v>-4.6309999999999998E-4</v>
      </c>
      <c r="E50" s="3">
        <f t="shared" si="1"/>
        <v>99.524948523522752</v>
      </c>
      <c r="F50">
        <v>1.9357397686690001E-3</v>
      </c>
      <c r="G50">
        <f t="shared" si="2"/>
        <v>99.763803541774664</v>
      </c>
    </row>
    <row r="51" spans="1:7">
      <c r="A51" s="1">
        <v>34366</v>
      </c>
      <c r="B51">
        <v>98.260320939449898</v>
      </c>
      <c r="C51">
        <f t="shared" si="0"/>
        <v>-3.5388452137974369E-2</v>
      </c>
      <c r="D51" s="2">
        <v>1.5901400000000001E-3</v>
      </c>
      <c r="E51" s="3">
        <f t="shared" si="1"/>
        <v>101.96173768422867</v>
      </c>
      <c r="F51">
        <v>-8.0814171815291004E-4</v>
      </c>
      <c r="G51">
        <f t="shared" si="2"/>
        <v>101.71759293711764</v>
      </c>
    </row>
    <row r="52" spans="1:7">
      <c r="A52" s="1">
        <v>34394</v>
      </c>
      <c r="B52">
        <v>99.882674172615495</v>
      </c>
      <c r="C52">
        <f t="shared" si="0"/>
        <v>1.6375945945926063E-2</v>
      </c>
      <c r="D52" s="2">
        <v>-4.661E-4</v>
      </c>
      <c r="E52" s="3">
        <f t="shared" si="1"/>
        <v>98.214521803860023</v>
      </c>
      <c r="F52">
        <v>-4.6672302414663098E-4</v>
      </c>
      <c r="G52">
        <f t="shared" si="2"/>
        <v>98.214460585307421</v>
      </c>
    </row>
    <row r="53" spans="1:7">
      <c r="A53" s="1">
        <v>34425</v>
      </c>
      <c r="B53">
        <v>102.504947059087</v>
      </c>
      <c r="C53">
        <f t="shared" si="0"/>
        <v>2.5914822496946321E-2</v>
      </c>
      <c r="D53" s="2">
        <v>3.89486E-3</v>
      </c>
      <c r="E53" s="3">
        <f t="shared" si="1"/>
        <v>100.27170320494345</v>
      </c>
      <c r="F53">
        <v>3.3681858330964999E-3</v>
      </c>
      <c r="G53">
        <f t="shared" si="2"/>
        <v>100.21909758073549</v>
      </c>
    </row>
    <row r="54" spans="1:7">
      <c r="A54" s="1">
        <v>34455</v>
      </c>
      <c r="B54">
        <v>99.4333693089104</v>
      </c>
      <c r="C54">
        <f t="shared" si="0"/>
        <v>-3.0423296746353579E-2</v>
      </c>
      <c r="D54" s="2">
        <v>6.7771300000000001E-3</v>
      </c>
      <c r="E54" s="3">
        <f t="shared" si="1"/>
        <v>103.19963641094955</v>
      </c>
      <c r="F54">
        <v>7.8154280781745893E-3</v>
      </c>
      <c r="G54">
        <f t="shared" si="2"/>
        <v>103.30606710048438</v>
      </c>
    </row>
    <row r="55" spans="1:7">
      <c r="A55" s="1">
        <v>34486</v>
      </c>
      <c r="B55">
        <v>102.6002043299</v>
      </c>
      <c r="C55">
        <f t="shared" si="0"/>
        <v>3.1352159595646079E-2</v>
      </c>
      <c r="D55" s="2">
        <v>4.5336200000000004E-3</v>
      </c>
      <c r="E55" s="3">
        <f t="shared" si="1"/>
        <v>99.88416242067666</v>
      </c>
      <c r="F55">
        <v>4.0219905786216198E-3</v>
      </c>
      <c r="G55">
        <f t="shared" si="2"/>
        <v>99.833289383471438</v>
      </c>
    </row>
    <row r="56" spans="1:7">
      <c r="A56" s="1">
        <v>34516</v>
      </c>
      <c r="B56">
        <v>102.0647431198</v>
      </c>
      <c r="C56">
        <f t="shared" si="0"/>
        <v>-5.2325758612701279E-3</v>
      </c>
      <c r="D56" s="2">
        <v>3.9824099999999996E-3</v>
      </c>
      <c r="E56" s="3">
        <f t="shared" si="1"/>
        <v>103.00880040962544</v>
      </c>
      <c r="F56">
        <v>-8.7372551206499295E-4</v>
      </c>
      <c r="G56">
        <f t="shared" si="2"/>
        <v>102.51055991383387</v>
      </c>
    </row>
    <row r="57" spans="1:7">
      <c r="A57" s="1">
        <v>34547</v>
      </c>
      <c r="B57">
        <v>101.766254701055</v>
      </c>
      <c r="C57">
        <f t="shared" si="0"/>
        <v>-2.9287854673745173E-3</v>
      </c>
      <c r="D57" s="2">
        <v>3.39844E-3</v>
      </c>
      <c r="E57" s="3">
        <f t="shared" si="1"/>
        <v>102.41160402540805</v>
      </c>
      <c r="F57">
        <v>4.9431542865931901E-3</v>
      </c>
      <c r="G57">
        <f t="shared" si="2"/>
        <v>102.56926489226267</v>
      </c>
    </row>
    <row r="58" spans="1:7">
      <c r="A58" s="1">
        <v>34578</v>
      </c>
      <c r="B58">
        <v>102.564710922057</v>
      </c>
      <c r="C58">
        <f t="shared" si="0"/>
        <v>7.8153625193113641E-3</v>
      </c>
      <c r="D58" s="2">
        <v>-1.3010000000000001E-3</v>
      </c>
      <c r="E58" s="3">
        <f t="shared" si="1"/>
        <v>101.63385680368893</v>
      </c>
      <c r="F58">
        <v>2.0104197319597002E-3</v>
      </c>
      <c r="G58">
        <f t="shared" si="2"/>
        <v>101.97084758755364</v>
      </c>
    </row>
    <row r="59" spans="1:7">
      <c r="A59" s="1">
        <v>34608</v>
      </c>
      <c r="B59">
        <v>99.427954608519101</v>
      </c>
      <c r="C59">
        <f t="shared" si="0"/>
        <v>-3.1060617834933524E-2</v>
      </c>
      <c r="D59" s="2">
        <v>1.640573E-2</v>
      </c>
      <c r="E59" s="3">
        <f t="shared" si="1"/>
        <v>104.24735987697233</v>
      </c>
      <c r="F59">
        <v>4.1742790490388801E-2</v>
      </c>
      <c r="G59">
        <f t="shared" si="2"/>
        <v>106.84604816178373</v>
      </c>
    </row>
    <row r="60" spans="1:7">
      <c r="A60" s="1">
        <v>34639</v>
      </c>
      <c r="B60">
        <v>101.926360866084</v>
      </c>
      <c r="C60">
        <f t="shared" si="0"/>
        <v>2.481729264800947E-2</v>
      </c>
      <c r="D60" s="2">
        <v>-1.17743E-2</v>
      </c>
      <c r="E60" s="3">
        <f t="shared" si="1"/>
        <v>98.257260042572014</v>
      </c>
      <c r="F60">
        <v>-7.0685453712940202E-2</v>
      </c>
      <c r="G60">
        <f t="shared" si="2"/>
        <v>92.399844525266303</v>
      </c>
    </row>
    <row r="61" spans="1:7">
      <c r="A61" s="1">
        <v>34669</v>
      </c>
      <c r="B61">
        <v>101.19564429590601</v>
      </c>
      <c r="C61">
        <f t="shared" si="0"/>
        <v>-7.1948848851164371E-3</v>
      </c>
      <c r="D61" s="2">
        <v>-1.72625E-2</v>
      </c>
      <c r="E61" s="3">
        <f t="shared" si="1"/>
        <v>100.16685706163322</v>
      </c>
      <c r="F61">
        <v>1.6311647370457601E-2</v>
      </c>
      <c r="G61">
        <f t="shared" si="2"/>
        <v>103.58894772228557</v>
      </c>
    </row>
    <row r="62" spans="1:7">
      <c r="A62" s="1">
        <v>34700</v>
      </c>
      <c r="B62">
        <v>102.482616508967</v>
      </c>
      <c r="C62">
        <f t="shared" si="0"/>
        <v>1.2637473788325693E-2</v>
      </c>
      <c r="D62" s="4">
        <v>-8.5099999999999995E-5</v>
      </c>
      <c r="E62" s="3">
        <f t="shared" si="1"/>
        <v>101.18703254657643</v>
      </c>
      <c r="F62">
        <v>-1.0707596084102899E-3</v>
      </c>
      <c r="G62">
        <f t="shared" si="2"/>
        <v>101.08728808744689</v>
      </c>
    </row>
    <row r="63" spans="1:7">
      <c r="A63" s="1">
        <v>34731</v>
      </c>
      <c r="B63">
        <v>103.66656629264401</v>
      </c>
      <c r="C63">
        <f t="shared" si="0"/>
        <v>1.148646611136428E-2</v>
      </c>
      <c r="D63" s="2">
        <v>-8.9545000000000007E-3</v>
      </c>
      <c r="E63" s="3">
        <f t="shared" si="1"/>
        <v>101.56493591943746</v>
      </c>
      <c r="F63">
        <v>-3.3085742034018001E-3</v>
      </c>
      <c r="G63">
        <f t="shared" si="2"/>
        <v>102.14354516768832</v>
      </c>
    </row>
    <row r="64" spans="1:7">
      <c r="A64" s="1">
        <v>34759</v>
      </c>
      <c r="B64">
        <v>99.3118818464024</v>
      </c>
      <c r="C64">
        <f t="shared" si="0"/>
        <v>-4.2914435323163858E-2</v>
      </c>
      <c r="D64" s="2">
        <v>1.8615469999999999E-2</v>
      </c>
      <c r="E64" s="3">
        <f t="shared" si="1"/>
        <v>105.59636814746773</v>
      </c>
      <c r="F64">
        <v>1.39552354812622E-2</v>
      </c>
      <c r="G64">
        <f t="shared" si="2"/>
        <v>105.11325763679173</v>
      </c>
    </row>
    <row r="65" spans="1:8">
      <c r="A65" s="1">
        <v>34790</v>
      </c>
      <c r="B65">
        <v>97.305348507995504</v>
      </c>
      <c r="C65">
        <f t="shared" si="0"/>
        <v>-2.0411263018428549E-2</v>
      </c>
      <c r="D65" s="2">
        <v>1.593696E-2</v>
      </c>
      <c r="E65" s="3">
        <f t="shared" si="1"/>
        <v>100.89461133491324</v>
      </c>
      <c r="F65">
        <v>-8.3113526925444603E-3</v>
      </c>
      <c r="G65">
        <f t="shared" si="2"/>
        <v>98.486465769816647</v>
      </c>
      <c r="H65" s="3"/>
    </row>
    <row r="66" spans="1:8">
      <c r="A66" s="1">
        <v>34820</v>
      </c>
      <c r="B66">
        <v>102.446692731014</v>
      </c>
      <c r="C66">
        <f t="shared" si="0"/>
        <v>5.148863544683735E-2</v>
      </c>
      <c r="D66" s="2">
        <v>-1.45589E-2</v>
      </c>
      <c r="E66" s="3">
        <f t="shared" si="1"/>
        <v>95.888689669602442</v>
      </c>
      <c r="F66">
        <v>-1.02816801518201E-2</v>
      </c>
      <c r="G66">
        <f t="shared" si="2"/>
        <v>96.304886037574903</v>
      </c>
      <c r="H66" s="3"/>
    </row>
    <row r="67" spans="1:8">
      <c r="A67" s="1">
        <v>34851</v>
      </c>
      <c r="B67">
        <v>100.76124596240599</v>
      </c>
      <c r="C67">
        <f t="shared" si="0"/>
        <v>-1.6588775324628102E-2</v>
      </c>
      <c r="D67" s="2">
        <v>-1.7708399999999999E-2</v>
      </c>
      <c r="E67" s="3">
        <f t="shared" si="1"/>
        <v>100.6325257174561</v>
      </c>
      <c r="F67">
        <v>2.2626793943345499E-3</v>
      </c>
      <c r="G67">
        <f t="shared" si="2"/>
        <v>102.67849675167419</v>
      </c>
    </row>
    <row r="68" spans="1:8">
      <c r="A68" s="1">
        <v>34881</v>
      </c>
      <c r="B68">
        <v>101.25252509967601</v>
      </c>
      <c r="C68">
        <f t="shared" ref="C68:C131" si="3">LN(B68)-LN(B67)</f>
        <v>4.8638278786174993E-3</v>
      </c>
      <c r="D68" s="2">
        <v>5.7141300000000004E-3</v>
      </c>
      <c r="E68" s="3">
        <f t="shared" si="1"/>
        <v>101.33700882079715</v>
      </c>
      <c r="F68">
        <v>9.9664051085710508E-3</v>
      </c>
      <c r="G68">
        <f t="shared" si="2"/>
        <v>101.76547335891171</v>
      </c>
    </row>
    <row r="69" spans="1:8">
      <c r="A69" s="1">
        <v>34912</v>
      </c>
      <c r="B69">
        <v>102.538710225374</v>
      </c>
      <c r="C69">
        <f t="shared" si="3"/>
        <v>1.262274308622402E-2</v>
      </c>
      <c r="D69" s="2">
        <v>6.1592299999999999E-3</v>
      </c>
      <c r="E69" s="3">
        <f t="shared" ref="E69:E132" si="4">B68*D69+B68</f>
        <v>101.87616268984569</v>
      </c>
      <c r="F69">
        <v>-6.2828841619193502E-3</v>
      </c>
      <c r="G69">
        <f t="shared" si="2"/>
        <v>100.61636721337291</v>
      </c>
    </row>
    <row r="70" spans="1:8">
      <c r="A70" s="1">
        <v>34943</v>
      </c>
      <c r="B70">
        <v>100.37103370869301</v>
      </c>
      <c r="C70">
        <f t="shared" si="3"/>
        <v>-2.1366731264577332E-2</v>
      </c>
      <c r="D70" s="2">
        <v>1.9600999999999999E-4</v>
      </c>
      <c r="E70" s="3">
        <f t="shared" si="4"/>
        <v>102.55880883796527</v>
      </c>
      <c r="F70">
        <v>8.3858482539653691E-3</v>
      </c>
      <c r="G70">
        <f t="shared" si="2"/>
        <v>103.39858428948132</v>
      </c>
    </row>
    <row r="71" spans="1:8">
      <c r="A71" s="1">
        <v>34973</v>
      </c>
      <c r="B71">
        <v>101.992256648566</v>
      </c>
      <c r="C71">
        <f t="shared" si="3"/>
        <v>1.6023238439052179E-2</v>
      </c>
      <c r="D71" s="2">
        <v>-3.4979999999999999E-4</v>
      </c>
      <c r="E71" s="3">
        <f t="shared" si="4"/>
        <v>100.33592392110171</v>
      </c>
      <c r="F71">
        <v>-1.22236448805779E-3</v>
      </c>
      <c r="G71">
        <f t="shared" ref="G71:G134" si="5">B70*F71+B70</f>
        <v>100.24834372145784</v>
      </c>
    </row>
    <row r="72" spans="1:8">
      <c r="A72" s="1">
        <v>35004</v>
      </c>
      <c r="B72">
        <v>100.329936837007</v>
      </c>
      <c r="C72">
        <f t="shared" si="3"/>
        <v>-1.6432771807512125E-2</v>
      </c>
      <c r="D72" s="2">
        <v>2.92801E-3</v>
      </c>
      <c r="E72" s="3">
        <f t="shared" si="4"/>
        <v>102.29089099595556</v>
      </c>
      <c r="F72">
        <v>1.72650685999542E-3</v>
      </c>
      <c r="G72">
        <f t="shared" si="5"/>
        <v>102.16834697933616</v>
      </c>
    </row>
    <row r="73" spans="1:8">
      <c r="A73" s="1">
        <v>35034</v>
      </c>
      <c r="B73">
        <v>104.507204596539</v>
      </c>
      <c r="C73">
        <f t="shared" si="3"/>
        <v>4.0791889151005734E-2</v>
      </c>
      <c r="D73" s="2">
        <v>6.1523300000000001E-3</v>
      </c>
      <c r="E73" s="3">
        <f t="shared" si="4"/>
        <v>100.94719971730743</v>
      </c>
      <c r="F73">
        <v>8.2264048978686298E-3</v>
      </c>
      <c r="G73">
        <f t="shared" si="5"/>
        <v>101.1552915208058</v>
      </c>
    </row>
    <row r="74" spans="1:8">
      <c r="A74" s="1">
        <v>35065</v>
      </c>
      <c r="B74">
        <v>99.560512767495993</v>
      </c>
      <c r="C74">
        <f t="shared" si="3"/>
        <v>-4.8490384713353762E-2</v>
      </c>
      <c r="D74" s="2">
        <v>-1.1489E-3</v>
      </c>
      <c r="E74" s="3">
        <f t="shared" si="4"/>
        <v>104.38713626917803</v>
      </c>
      <c r="F74">
        <v>1.75438052974641E-3</v>
      </c>
      <c r="G74">
        <f t="shared" si="5"/>
        <v>104.69055000150139</v>
      </c>
      <c r="H74" s="3"/>
    </row>
    <row r="75" spans="1:8">
      <c r="A75" s="1">
        <v>35096</v>
      </c>
      <c r="B75">
        <v>103.32989993983099</v>
      </c>
      <c r="C75">
        <f t="shared" si="3"/>
        <v>3.7161154047772982E-2</v>
      </c>
      <c r="D75" s="2">
        <v>-6.77E-3</v>
      </c>
      <c r="E75" s="3">
        <f t="shared" si="4"/>
        <v>98.886488096060049</v>
      </c>
      <c r="F75">
        <v>-8.2257660105824401E-3</v>
      </c>
      <c r="G75">
        <f t="shared" si="5"/>
        <v>98.741551285576961</v>
      </c>
    </row>
    <row r="76" spans="1:8">
      <c r="A76" s="1">
        <v>35125</v>
      </c>
      <c r="B76">
        <v>102.90877444422701</v>
      </c>
      <c r="C76">
        <f t="shared" si="3"/>
        <v>-4.0838710989188343E-3</v>
      </c>
      <c r="D76" s="2">
        <v>4.5556700000000004E-3</v>
      </c>
      <c r="E76" s="3">
        <f t="shared" si="4"/>
        <v>103.80063686508988</v>
      </c>
      <c r="F76">
        <v>3.1081347260624101E-3</v>
      </c>
      <c r="G76">
        <f t="shared" si="5"/>
        <v>103.65106319007454</v>
      </c>
    </row>
    <row r="77" spans="1:8">
      <c r="A77" s="1">
        <v>35156</v>
      </c>
      <c r="B77">
        <v>101.97216306517601</v>
      </c>
      <c r="C77">
        <f t="shared" si="3"/>
        <v>-9.1430458598944497E-3</v>
      </c>
      <c r="D77" s="2">
        <v>-1.2382999999999999E-3</v>
      </c>
      <c r="E77" s="3">
        <f t="shared" si="4"/>
        <v>102.78134250883272</v>
      </c>
      <c r="F77">
        <v>-1.1612719856202601E-2</v>
      </c>
      <c r="G77">
        <f t="shared" si="5"/>
        <v>101.71372367586106</v>
      </c>
    </row>
    <row r="78" spans="1:8">
      <c r="A78" s="1">
        <v>35186</v>
      </c>
      <c r="B78">
        <v>101.709926198299</v>
      </c>
      <c r="C78">
        <f t="shared" si="3"/>
        <v>-2.574963883380299E-3</v>
      </c>
      <c r="D78" s="2">
        <v>5.5239000000000004E-4</v>
      </c>
      <c r="E78" s="3">
        <f t="shared" si="4"/>
        <v>102.02849146833158</v>
      </c>
      <c r="F78">
        <v>-4.1647306643426401E-3</v>
      </c>
      <c r="G78">
        <f t="shared" si="5"/>
        <v>101.54747647074912</v>
      </c>
    </row>
    <row r="79" spans="1:8">
      <c r="A79" s="1">
        <v>35217</v>
      </c>
      <c r="B79">
        <v>100.53191418519199</v>
      </c>
      <c r="C79">
        <f t="shared" si="3"/>
        <v>-1.1649669857130895E-2</v>
      </c>
      <c r="D79" s="2">
        <v>-4.5113000000000002E-3</v>
      </c>
      <c r="E79" s="3">
        <f t="shared" si="4"/>
        <v>101.25108220824062</v>
      </c>
      <c r="F79">
        <v>1.0580227710306599E-2</v>
      </c>
      <c r="G79">
        <f t="shared" si="5"/>
        <v>102.78604037787548</v>
      </c>
    </row>
    <row r="80" spans="1:8">
      <c r="A80" s="1">
        <v>35247</v>
      </c>
      <c r="B80">
        <v>100.76106009622799</v>
      </c>
      <c r="C80">
        <f t="shared" si="3"/>
        <v>2.2767412607072046E-3</v>
      </c>
      <c r="D80" s="2">
        <v>1.636137E-2</v>
      </c>
      <c r="E80" s="3">
        <f t="shared" si="4"/>
        <v>102.17675402998417</v>
      </c>
      <c r="F80">
        <v>1.8980076536536199E-2</v>
      </c>
      <c r="G80">
        <f t="shared" si="5"/>
        <v>102.44001761079143</v>
      </c>
    </row>
    <row r="81" spans="1:8">
      <c r="A81" s="1">
        <v>35278</v>
      </c>
      <c r="B81">
        <v>97.810120010783294</v>
      </c>
      <c r="C81">
        <f t="shared" si="3"/>
        <v>-2.9723924151409342E-2</v>
      </c>
      <c r="D81" s="2">
        <v>-2.6477899999999999E-2</v>
      </c>
      <c r="E81" s="3">
        <f t="shared" si="4"/>
        <v>98.093118823106082</v>
      </c>
      <c r="F81">
        <v>-1.6514852643013E-2</v>
      </c>
      <c r="G81">
        <f t="shared" si="5"/>
        <v>99.097006036585014</v>
      </c>
    </row>
    <row r="82" spans="1:8">
      <c r="A82" s="1">
        <v>35309</v>
      </c>
      <c r="B82">
        <v>100.286850634088</v>
      </c>
      <c r="C82">
        <f t="shared" si="3"/>
        <v>2.5006537735126066E-2</v>
      </c>
      <c r="D82" s="2">
        <v>-7.6461999999999997E-3</v>
      </c>
      <c r="E82" s="3">
        <f t="shared" si="4"/>
        <v>97.062244271156843</v>
      </c>
      <c r="F82">
        <v>-2.0227989181876099E-2</v>
      </c>
      <c r="G82">
        <f t="shared" si="5"/>
        <v>95.831617961327169</v>
      </c>
    </row>
    <row r="83" spans="1:8">
      <c r="A83" s="1">
        <v>35339</v>
      </c>
      <c r="B83">
        <v>102.398815994972</v>
      </c>
      <c r="C83">
        <f t="shared" si="3"/>
        <v>2.0840563974018345E-2</v>
      </c>
      <c r="D83" s="2">
        <v>-2.9884999999999998E-3</v>
      </c>
      <c r="E83" s="3">
        <f t="shared" si="4"/>
        <v>99.987143380968021</v>
      </c>
      <c r="F83">
        <v>-1.4655906707048401E-2</v>
      </c>
      <c r="G83">
        <f t="shared" si="5"/>
        <v>98.817055907251103</v>
      </c>
    </row>
    <row r="84" spans="1:8">
      <c r="A84" s="1">
        <v>35370</v>
      </c>
      <c r="B84">
        <v>103.630575738122</v>
      </c>
      <c r="C84">
        <f t="shared" si="3"/>
        <v>1.195726890021831E-2</v>
      </c>
      <c r="D84" s="2">
        <v>3.345741E-2</v>
      </c>
      <c r="E84" s="3">
        <f t="shared" si="4"/>
        <v>105.82481516523033</v>
      </c>
      <c r="F84">
        <v>8.4074914455413804E-2</v>
      </c>
      <c r="G84">
        <f t="shared" si="5"/>
        <v>111.00798769008493</v>
      </c>
    </row>
    <row r="85" spans="1:8">
      <c r="A85" s="1">
        <v>35400</v>
      </c>
      <c r="B85">
        <v>98.9019599041562</v>
      </c>
      <c r="C85">
        <f t="shared" si="3"/>
        <v>-4.6703363428485467E-2</v>
      </c>
      <c r="D85" s="2">
        <v>-1.03508E-2</v>
      </c>
      <c r="E85" s="3">
        <f t="shared" si="4"/>
        <v>102.55791637477185</v>
      </c>
      <c r="F85">
        <v>-4.9300979822874E-2</v>
      </c>
      <c r="G85">
        <f t="shared" si="5"/>
        <v>98.521486814624041</v>
      </c>
    </row>
    <row r="86" spans="1:8">
      <c r="A86" s="1">
        <v>35431</v>
      </c>
      <c r="B86">
        <v>100.467283357159</v>
      </c>
      <c r="C86">
        <f t="shared" si="3"/>
        <v>1.5703080303966388E-2</v>
      </c>
      <c r="D86" s="2">
        <v>-8.7124000000000004E-3</v>
      </c>
      <c r="E86" s="3">
        <f t="shared" si="4"/>
        <v>98.040286468687228</v>
      </c>
      <c r="F86">
        <v>-3.8509343285113499E-3</v>
      </c>
      <c r="G86">
        <f t="shared" si="5"/>
        <v>98.521094951604226</v>
      </c>
    </row>
    <row r="87" spans="1:8">
      <c r="A87" s="1">
        <v>35462</v>
      </c>
      <c r="B87">
        <v>100.072066155809</v>
      </c>
      <c r="C87">
        <f t="shared" si="3"/>
        <v>-3.9415477708253377E-3</v>
      </c>
      <c r="D87" s="2">
        <v>1.5809750000000001E-2</v>
      </c>
      <c r="E87" s="3">
        <f t="shared" si="4"/>
        <v>102.05564599021486</v>
      </c>
      <c r="F87">
        <v>8.9239925146102905E-3</v>
      </c>
      <c r="G87">
        <f t="shared" si="5"/>
        <v>101.36385264180153</v>
      </c>
    </row>
    <row r="88" spans="1:8">
      <c r="A88" s="1">
        <v>35490</v>
      </c>
      <c r="B88">
        <v>100.376056609057</v>
      </c>
      <c r="C88">
        <f t="shared" si="3"/>
        <v>3.0331108329493262E-3</v>
      </c>
      <c r="D88" s="2">
        <v>-2.0354899999999999E-2</v>
      </c>
      <c r="E88" s="3">
        <f t="shared" si="4"/>
        <v>98.035109256414117</v>
      </c>
      <c r="F88">
        <v>-1.8330549821257501E-2</v>
      </c>
      <c r="G88">
        <f t="shared" si="5"/>
        <v>98.237690161423757</v>
      </c>
      <c r="H88" s="3"/>
    </row>
    <row r="89" spans="1:8">
      <c r="A89" s="1">
        <v>35521</v>
      </c>
      <c r="B89">
        <v>101.85442647476501</v>
      </c>
      <c r="C89">
        <f t="shared" si="3"/>
        <v>1.4620903625393922E-2</v>
      </c>
      <c r="D89" s="2">
        <v>2.9394899999999999E-3</v>
      </c>
      <c r="E89" s="3">
        <f t="shared" si="4"/>
        <v>100.67111102369876</v>
      </c>
      <c r="F89">
        <v>2.9201286379247899E-3</v>
      </c>
      <c r="G89">
        <f t="shared" si="5"/>
        <v>100.66916760652308</v>
      </c>
    </row>
    <row r="90" spans="1:8">
      <c r="A90" s="1">
        <v>35551</v>
      </c>
      <c r="B90">
        <v>98.351540313948405</v>
      </c>
      <c r="C90">
        <f t="shared" si="3"/>
        <v>-3.499639618510475E-2</v>
      </c>
      <c r="D90" s="2">
        <v>1.1472399999999999E-3</v>
      </c>
      <c r="E90" s="3">
        <f t="shared" si="4"/>
        <v>101.97127794699392</v>
      </c>
      <c r="F90">
        <v>-7.8394319862127304E-3</v>
      </c>
      <c r="G90">
        <f t="shared" si="5"/>
        <v>101.05594562592138</v>
      </c>
    </row>
    <row r="91" spans="1:8">
      <c r="A91" s="1">
        <v>35582</v>
      </c>
      <c r="B91">
        <v>102.066937413486</v>
      </c>
      <c r="C91">
        <f t="shared" si="3"/>
        <v>3.7080640931209885E-2</v>
      </c>
      <c r="D91" s="2">
        <v>4.1435000000000002E-4</v>
      </c>
      <c r="E91" s="3">
        <f t="shared" si="4"/>
        <v>98.392292274677487</v>
      </c>
      <c r="F91">
        <v>9.4203855842351896E-3</v>
      </c>
      <c r="G91">
        <f t="shared" si="5"/>
        <v>99.278049746509254</v>
      </c>
    </row>
    <row r="92" spans="1:8">
      <c r="A92" s="1">
        <v>35612</v>
      </c>
      <c r="B92">
        <v>100.78825072130699</v>
      </c>
      <c r="C92">
        <f t="shared" si="3"/>
        <v>-1.2607058659686921E-2</v>
      </c>
      <c r="D92" s="4">
        <v>-4.2299999999999998E-5</v>
      </c>
      <c r="E92" s="3">
        <f t="shared" si="4"/>
        <v>102.06261998203341</v>
      </c>
      <c r="F92">
        <v>-8.2274014130234701E-3</v>
      </c>
      <c r="G92">
        <f t="shared" si="5"/>
        <v>101.22719174838731</v>
      </c>
    </row>
    <row r="93" spans="1:8">
      <c r="A93" s="1">
        <v>35643</v>
      </c>
      <c r="B93">
        <v>102.192303736013</v>
      </c>
      <c r="C93">
        <f t="shared" si="3"/>
        <v>1.3834580485024617E-2</v>
      </c>
      <c r="D93" s="2">
        <v>-8.9630000000000005E-4</v>
      </c>
      <c r="E93" s="3">
        <f t="shared" si="4"/>
        <v>100.69791421218548</v>
      </c>
      <c r="F93">
        <v>2.8279752004891599E-3</v>
      </c>
      <c r="G93">
        <f t="shared" si="5"/>
        <v>101.07327739484754</v>
      </c>
    </row>
    <row r="94" spans="1:8">
      <c r="A94" s="1">
        <v>35674</v>
      </c>
      <c r="B94">
        <v>98.648769906242805</v>
      </c>
      <c r="C94">
        <f t="shared" si="3"/>
        <v>-3.5290605905990979E-2</v>
      </c>
      <c r="D94" s="2">
        <v>-1.1927999999999999E-3</v>
      </c>
      <c r="E94" s="3">
        <f t="shared" si="4"/>
        <v>102.07040875611669</v>
      </c>
      <c r="F94">
        <v>3.2680206932127402E-3</v>
      </c>
      <c r="G94">
        <f t="shared" si="5"/>
        <v>102.52627029930937</v>
      </c>
    </row>
    <row r="95" spans="1:8">
      <c r="A95" s="1">
        <v>35704</v>
      </c>
      <c r="B95">
        <v>99.512617464822199</v>
      </c>
      <c r="C95">
        <f t="shared" si="3"/>
        <v>8.7186816985571625E-3</v>
      </c>
      <c r="D95" s="2">
        <v>-2.4927999999999999E-3</v>
      </c>
      <c r="E95" s="3">
        <f t="shared" si="4"/>
        <v>98.402858252620518</v>
      </c>
      <c r="F95">
        <v>-2.1229651756584601E-3</v>
      </c>
      <c r="G95">
        <f t="shared" si="5"/>
        <v>98.439342003110312</v>
      </c>
      <c r="H95" s="3"/>
    </row>
    <row r="96" spans="1:8">
      <c r="A96" s="1">
        <v>35735</v>
      </c>
      <c r="B96">
        <v>99.047447156374204</v>
      </c>
      <c r="C96">
        <f t="shared" si="3"/>
        <v>-4.685445286702894E-3</v>
      </c>
      <c r="D96" s="2">
        <v>2.7511599999999999E-3</v>
      </c>
      <c r="E96" s="3">
        <f t="shared" si="4"/>
        <v>99.786392597486724</v>
      </c>
      <c r="F96">
        <v>-3.7183228414505698E-3</v>
      </c>
      <c r="G96">
        <f t="shared" si="5"/>
        <v>99.142597426290223</v>
      </c>
    </row>
    <row r="97" spans="1:8">
      <c r="A97" s="1">
        <v>35765</v>
      </c>
      <c r="B97">
        <v>99.384310713988597</v>
      </c>
      <c r="C97">
        <f t="shared" si="3"/>
        <v>3.3952617750072633E-3</v>
      </c>
      <c r="D97" s="2">
        <v>-1.25504E-2</v>
      </c>
      <c r="E97" s="3">
        <f t="shared" si="4"/>
        <v>97.804362075582844</v>
      </c>
      <c r="F97">
        <v>-6.45076343789696E-3</v>
      </c>
      <c r="G97">
        <f t="shared" si="5"/>
        <v>98.408515505640835</v>
      </c>
    </row>
    <row r="98" spans="1:8">
      <c r="A98" s="1">
        <v>35796</v>
      </c>
      <c r="B98">
        <v>100.054560529188</v>
      </c>
      <c r="C98">
        <f t="shared" si="3"/>
        <v>6.7213811865318718E-3</v>
      </c>
      <c r="D98" s="2">
        <v>3.78283E-3</v>
      </c>
      <c r="E98" s="3">
        <f t="shared" si="4"/>
        <v>99.760264666086798</v>
      </c>
      <c r="F98">
        <v>6.9637713022530001E-3</v>
      </c>
      <c r="G98">
        <f t="shared" si="5"/>
        <v>100.07640032483286</v>
      </c>
    </row>
    <row r="99" spans="1:8">
      <c r="A99" s="1">
        <v>35827</v>
      </c>
      <c r="B99">
        <v>102.398363425124</v>
      </c>
      <c r="C99">
        <f t="shared" si="3"/>
        <v>2.3155087809646702E-2</v>
      </c>
      <c r="D99" s="2">
        <v>1.01432E-2</v>
      </c>
      <c r="E99" s="3">
        <f t="shared" si="4"/>
        <v>101.06943394754765</v>
      </c>
      <c r="F99">
        <v>2.7005472220480399E-3</v>
      </c>
      <c r="G99">
        <f t="shared" si="5"/>
        <v>100.32476259467833</v>
      </c>
    </row>
    <row r="100" spans="1:8">
      <c r="A100" s="1">
        <v>35855</v>
      </c>
      <c r="B100">
        <v>100.77266964749001</v>
      </c>
      <c r="C100">
        <f t="shared" si="3"/>
        <v>-1.6003545876993819E-2</v>
      </c>
      <c r="D100" s="2">
        <v>3.6442200000000001E-3</v>
      </c>
      <c r="E100" s="3">
        <f t="shared" si="4"/>
        <v>102.77152558908512</v>
      </c>
      <c r="F100">
        <v>7.9059349372982892E-3</v>
      </c>
      <c r="G100">
        <f t="shared" si="5"/>
        <v>103.20791822404885</v>
      </c>
    </row>
    <row r="101" spans="1:8">
      <c r="A101" s="1">
        <v>35886</v>
      </c>
      <c r="B101">
        <v>99.971046480433102</v>
      </c>
      <c r="C101">
        <f t="shared" si="3"/>
        <v>-7.9865755551589146E-3</v>
      </c>
      <c r="D101" s="2">
        <v>-4.9636999999999997E-3</v>
      </c>
      <c r="E101" s="3">
        <f t="shared" si="4"/>
        <v>100.27246434716076</v>
      </c>
      <c r="F101">
        <v>-2.0870624110102601E-2</v>
      </c>
      <c r="G101">
        <f t="shared" si="5"/>
        <v>98.669481138705692</v>
      </c>
    </row>
    <row r="102" spans="1:8">
      <c r="A102" s="1">
        <v>35916</v>
      </c>
      <c r="B102">
        <v>102.56179589866299</v>
      </c>
      <c r="C102">
        <f t="shared" si="3"/>
        <v>2.5584894862426211E-2</v>
      </c>
      <c r="D102" s="2">
        <v>1.8138200000000001E-3</v>
      </c>
      <c r="E102" s="3">
        <f t="shared" si="4"/>
        <v>100.15237596396024</v>
      </c>
      <c r="F102">
        <v>4.0842205286026001E-2</v>
      </c>
      <c r="G102">
        <f t="shared" si="5"/>
        <v>104.05408448344579</v>
      </c>
    </row>
    <row r="103" spans="1:8">
      <c r="A103" s="1">
        <v>35947</v>
      </c>
      <c r="B103">
        <v>98.3499771968376</v>
      </c>
      <c r="C103">
        <f t="shared" si="3"/>
        <v>-4.1933190753669081E-2</v>
      </c>
      <c r="D103" s="2">
        <v>-4.6062999999999998E-3</v>
      </c>
      <c r="E103" s="3">
        <f t="shared" si="4"/>
        <v>102.08936549821499</v>
      </c>
      <c r="F103">
        <v>-2.7727756649255701E-2</v>
      </c>
      <c r="G103">
        <f t="shared" si="5"/>
        <v>99.717987380474227</v>
      </c>
    </row>
    <row r="104" spans="1:8">
      <c r="A104" s="1">
        <v>35977</v>
      </c>
      <c r="B104">
        <v>99.911300729826607</v>
      </c>
      <c r="C104">
        <f t="shared" si="3"/>
        <v>1.5750486697788446E-2</v>
      </c>
      <c r="D104" s="2">
        <v>-4.8711047000000001</v>
      </c>
      <c r="E104" s="3">
        <f t="shared" si="4"/>
        <v>-380.72305897157088</v>
      </c>
      <c r="F104">
        <v>-5.6043742224574002E-3</v>
      </c>
      <c r="G104">
        <f t="shared" si="5"/>
        <v>97.798787119856371</v>
      </c>
    </row>
    <row r="105" spans="1:8">
      <c r="A105" s="1">
        <v>36008</v>
      </c>
      <c r="B105">
        <v>99.509280166896502</v>
      </c>
      <c r="C105">
        <f t="shared" si="3"/>
        <v>-4.0318918511941249E-3</v>
      </c>
      <c r="D105" s="2">
        <v>4.4483685499999996</v>
      </c>
      <c r="E105" s="3">
        <f t="shared" si="4"/>
        <v>544.35358868597928</v>
      </c>
      <c r="F105">
        <v>-2.7631048578768899E-3</v>
      </c>
      <c r="G105">
        <f t="shared" si="5"/>
        <v>99.635235329423224</v>
      </c>
    </row>
    <row r="106" spans="1:8">
      <c r="A106" s="1">
        <v>36039</v>
      </c>
      <c r="B106">
        <v>99.884662142965496</v>
      </c>
      <c r="C106">
        <f t="shared" si="3"/>
        <v>3.7652339404337098E-3</v>
      </c>
      <c r="D106" s="2">
        <v>0.41747953999999998</v>
      </c>
      <c r="E106" s="3">
        <f t="shared" si="4"/>
        <v>141.05236867670357</v>
      </c>
      <c r="F106">
        <v>3.1105258967727401E-3</v>
      </c>
      <c r="G106">
        <f t="shared" si="5"/>
        <v>99.818806359824848</v>
      </c>
    </row>
    <row r="107" spans="1:8">
      <c r="A107" s="1">
        <v>36069</v>
      </c>
      <c r="B107">
        <v>100.349806073252</v>
      </c>
      <c r="C107">
        <f t="shared" si="3"/>
        <v>4.6460009719622164E-3</v>
      </c>
      <c r="D107" s="2">
        <v>2.7907000000000002E-4</v>
      </c>
      <c r="E107" s="3">
        <f t="shared" si="4"/>
        <v>99.912536955629733</v>
      </c>
      <c r="F107">
        <v>-5.4170581279322505E-4</v>
      </c>
      <c r="G107">
        <f t="shared" si="5"/>
        <v>99.830554040873764</v>
      </c>
    </row>
    <row r="108" spans="1:8">
      <c r="A108" s="1">
        <v>36100</v>
      </c>
      <c r="B108">
        <v>99.367111778713905</v>
      </c>
      <c r="C108">
        <f t="shared" si="3"/>
        <v>-9.8409512403003774E-3</v>
      </c>
      <c r="D108" s="2">
        <v>4.9894999999999996E-4</v>
      </c>
      <c r="E108" s="3">
        <f t="shared" si="4"/>
        <v>100.39987560899225</v>
      </c>
      <c r="F108">
        <v>1.25590979587286E-3</v>
      </c>
      <c r="G108">
        <f t="shared" si="5"/>
        <v>100.47583637771334</v>
      </c>
    </row>
    <row r="109" spans="1:8">
      <c r="A109" s="1">
        <v>36130</v>
      </c>
      <c r="B109">
        <v>99.854255464062206</v>
      </c>
      <c r="C109">
        <f t="shared" si="3"/>
        <v>4.8904860256913096E-3</v>
      </c>
      <c r="D109" s="2">
        <v>1.1008E-4</v>
      </c>
      <c r="E109" s="3">
        <f t="shared" si="4"/>
        <v>99.37805011037851</v>
      </c>
      <c r="F109">
        <v>1.73893466126173E-4</v>
      </c>
      <c r="G109">
        <f t="shared" si="5"/>
        <v>99.384391070200053</v>
      </c>
    </row>
    <row r="110" spans="1:8">
      <c r="A110" s="1">
        <v>36161</v>
      </c>
      <c r="B110">
        <v>99.623382333872598</v>
      </c>
      <c r="C110">
        <f t="shared" si="3"/>
        <v>-2.3147780956991326E-3</v>
      </c>
      <c r="D110" s="2">
        <v>-3.5136999999999998E-3</v>
      </c>
      <c r="E110" s="3">
        <f t="shared" si="4"/>
        <v>99.503397566638128</v>
      </c>
      <c r="F110">
        <v>-3.5357296001166101E-3</v>
      </c>
      <c r="G110">
        <f t="shared" si="5"/>
        <v>99.501197817320318</v>
      </c>
      <c r="H110" s="3"/>
    </row>
    <row r="111" spans="1:8">
      <c r="A111" s="1">
        <v>36192</v>
      </c>
      <c r="B111">
        <v>100.43752296240601</v>
      </c>
      <c r="C111">
        <f t="shared" si="3"/>
        <v>8.13897269508157E-3</v>
      </c>
      <c r="D111" s="2">
        <v>-5.3779999999999995E-4</v>
      </c>
      <c r="E111" s="3">
        <f t="shared" si="4"/>
        <v>99.569804878853446</v>
      </c>
      <c r="F111">
        <v>3.78927495330572E-3</v>
      </c>
      <c r="G111">
        <f t="shared" si="5"/>
        <v>100.00088272131394</v>
      </c>
      <c r="H111" s="3"/>
    </row>
    <row r="112" spans="1:8">
      <c r="A112" s="1">
        <v>36220</v>
      </c>
      <c r="B112">
        <v>101.055165215218</v>
      </c>
      <c r="C112">
        <f t="shared" si="3"/>
        <v>6.130685861803542E-3</v>
      </c>
      <c r="D112" s="2">
        <v>9.1952000000000006E-3</v>
      </c>
      <c r="E112" s="3">
        <f t="shared" si="4"/>
        <v>101.36106607354992</v>
      </c>
      <c r="F112">
        <v>4.8902318812906699E-3</v>
      </c>
      <c r="G112">
        <f t="shared" si="5"/>
        <v>100.92868573927463</v>
      </c>
      <c r="H112" s="3"/>
    </row>
    <row r="113" spans="1:7">
      <c r="A113" s="1">
        <v>36251</v>
      </c>
      <c r="B113">
        <v>106.88993280474099</v>
      </c>
      <c r="C113">
        <f t="shared" si="3"/>
        <v>5.6133081662977702E-2</v>
      </c>
      <c r="D113" s="2">
        <v>1.4691839999999999E-2</v>
      </c>
      <c r="E113" s="3">
        <f t="shared" si="4"/>
        <v>102.53985153373354</v>
      </c>
      <c r="F113">
        <v>1.8549811094999299E-2</v>
      </c>
      <c r="G113">
        <f t="shared" si="5"/>
        <v>102.92971944013424</v>
      </c>
    </row>
    <row r="114" spans="1:7">
      <c r="A114" s="1">
        <v>36281</v>
      </c>
      <c r="B114">
        <v>103.067055349653</v>
      </c>
      <c r="C114">
        <f t="shared" si="3"/>
        <v>-3.6419840427937444E-2</v>
      </c>
      <c r="D114" s="2">
        <v>8.9560000000000004E-3</v>
      </c>
      <c r="E114" s="3">
        <f t="shared" si="4"/>
        <v>107.84723904294026</v>
      </c>
      <c r="F114">
        <v>5.9787565842270799E-3</v>
      </c>
      <c r="G114">
        <f t="shared" si="5"/>
        <v>107.52900169428493</v>
      </c>
    </row>
    <row r="115" spans="1:7">
      <c r="A115" s="1">
        <v>36312</v>
      </c>
      <c r="B115">
        <v>103.320683860366</v>
      </c>
      <c r="C115">
        <f t="shared" si="3"/>
        <v>2.4577878449436596E-3</v>
      </c>
      <c r="D115" s="2">
        <v>1.5946269999999999E-2</v>
      </c>
      <c r="E115" s="3">
        <f t="shared" si="4"/>
        <v>104.71059044236351</v>
      </c>
      <c r="F115">
        <v>1.50655563920736E-2</v>
      </c>
      <c r="G115">
        <f t="shared" si="5"/>
        <v>104.61981788418817</v>
      </c>
    </row>
    <row r="116" spans="1:7">
      <c r="A116" s="1">
        <v>36342</v>
      </c>
      <c r="B116">
        <v>100.094254466501</v>
      </c>
      <c r="C116">
        <f t="shared" si="3"/>
        <v>-3.1725300326526096E-2</v>
      </c>
      <c r="D116" s="2">
        <v>1.659033E-2</v>
      </c>
      <c r="E116" s="3">
        <f t="shared" si="4"/>
        <v>105.03480810143515</v>
      </c>
      <c r="F116">
        <v>-3.3796187490224797E-2</v>
      </c>
      <c r="G116">
        <f t="shared" si="5"/>
        <v>99.828838657002834</v>
      </c>
    </row>
    <row r="117" spans="1:7">
      <c r="A117" s="1">
        <v>36373</v>
      </c>
      <c r="B117">
        <v>99.835331120526007</v>
      </c>
      <c r="C117">
        <f t="shared" si="3"/>
        <v>-2.5901468256579463E-3</v>
      </c>
      <c r="D117" s="2">
        <v>-5.3655099999999997E-2</v>
      </c>
      <c r="E117" s="3">
        <f t="shared" si="4"/>
        <v>94.723687233675435</v>
      </c>
      <c r="F117">
        <v>8.3433225750923101E-2</v>
      </c>
      <c r="G117">
        <f t="shared" si="5"/>
        <v>108.44544099577492</v>
      </c>
    </row>
    <row r="118" spans="1:7">
      <c r="A118" s="1">
        <v>36404</v>
      </c>
      <c r="B118">
        <v>98.650843147928597</v>
      </c>
      <c r="C118">
        <f t="shared" si="3"/>
        <v>-1.1935360617117752E-2</v>
      </c>
      <c r="D118" s="2">
        <v>-1.09858E-2</v>
      </c>
      <c r="E118" s="3">
        <f t="shared" si="4"/>
        <v>98.738560139902134</v>
      </c>
      <c r="F118">
        <v>-9.7687624394893605E-2</v>
      </c>
      <c r="G118">
        <f t="shared" si="5"/>
        <v>90.082654792684224</v>
      </c>
    </row>
    <row r="119" spans="1:7">
      <c r="A119" s="1">
        <v>36434</v>
      </c>
      <c r="B119">
        <v>98.575479707842305</v>
      </c>
      <c r="C119">
        <f t="shared" si="3"/>
        <v>-7.6423311719242548E-4</v>
      </c>
      <c r="D119" s="2">
        <v>-4.9192600000000003E-2</v>
      </c>
      <c r="E119" s="3">
        <f t="shared" si="4"/>
        <v>93.797951681289803</v>
      </c>
      <c r="F119">
        <v>5.2909851074218701E-2</v>
      </c>
      <c r="G119">
        <f t="shared" si="5"/>
        <v>103.8704445672316</v>
      </c>
    </row>
    <row r="120" spans="1:7">
      <c r="A120" s="1">
        <v>36465</v>
      </c>
      <c r="B120">
        <v>108.28801360769999</v>
      </c>
      <c r="C120">
        <f t="shared" si="3"/>
        <v>9.3971924028989129E-2</v>
      </c>
      <c r="D120" s="2">
        <v>6.7592429999999995E-2</v>
      </c>
      <c r="E120" s="3">
        <f t="shared" si="4"/>
        <v>105.23843591971105</v>
      </c>
      <c r="F120">
        <v>1.01852156221866E-2</v>
      </c>
      <c r="G120">
        <f t="shared" si="5"/>
        <v>99.579492223727158</v>
      </c>
    </row>
    <row r="121" spans="1:7">
      <c r="A121" s="1">
        <v>36495</v>
      </c>
      <c r="B121">
        <v>101.662240026464</v>
      </c>
      <c r="C121">
        <f t="shared" si="3"/>
        <v>-6.3138523937745994E-2</v>
      </c>
      <c r="D121" s="2">
        <v>1.43661E-2</v>
      </c>
      <c r="E121" s="3">
        <f t="shared" si="4"/>
        <v>109.84369003998957</v>
      </c>
      <c r="F121">
        <v>-3.0329151079058599E-2</v>
      </c>
      <c r="G121">
        <f t="shared" si="5"/>
        <v>105.0037300829409</v>
      </c>
    </row>
    <row r="122" spans="1:7">
      <c r="A122" s="1">
        <v>36526</v>
      </c>
      <c r="B122">
        <v>99.1251412103408</v>
      </c>
      <c r="C122">
        <f t="shared" si="3"/>
        <v>-2.5272841745693775E-2</v>
      </c>
      <c r="D122" s="2">
        <v>-1.25652E-2</v>
      </c>
      <c r="E122" s="3">
        <f t="shared" si="4"/>
        <v>100.38483364808349</v>
      </c>
      <c r="F122">
        <v>-9.95878968387842E-3</v>
      </c>
      <c r="G122">
        <f t="shared" si="5"/>
        <v>100.64980715924848</v>
      </c>
    </row>
    <row r="123" spans="1:7">
      <c r="A123" s="1">
        <v>36557</v>
      </c>
      <c r="B123">
        <v>99.957255070059702</v>
      </c>
      <c r="C123">
        <f t="shared" si="3"/>
        <v>8.3595407838163993E-3</v>
      </c>
      <c r="D123" s="2">
        <v>-1.5120000000000001E-3</v>
      </c>
      <c r="E123" s="3">
        <f t="shared" si="4"/>
        <v>98.975263996830762</v>
      </c>
      <c r="F123">
        <v>1.45538691431283E-2</v>
      </c>
      <c r="G123">
        <f t="shared" si="5"/>
        <v>100.56779554431021</v>
      </c>
    </row>
    <row r="124" spans="1:7">
      <c r="A124" s="1">
        <v>36586</v>
      </c>
      <c r="B124">
        <v>103.03203504364301</v>
      </c>
      <c r="C124">
        <f t="shared" si="3"/>
        <v>3.0297314407990328E-2</v>
      </c>
      <c r="D124" s="2">
        <v>-6.9221999999999999E-3</v>
      </c>
      <c r="E124" s="3">
        <f t="shared" si="4"/>
        <v>99.265330959013738</v>
      </c>
      <c r="F124">
        <v>-2.55944766104221E-2</v>
      </c>
      <c r="G124">
        <f t="shared" si="5"/>
        <v>97.398901443127059</v>
      </c>
    </row>
    <row r="125" spans="1:7">
      <c r="A125" s="1">
        <v>36617</v>
      </c>
      <c r="B125">
        <v>98.602515959853704</v>
      </c>
      <c r="C125">
        <f t="shared" si="3"/>
        <v>-4.3943181596928227E-2</v>
      </c>
      <c r="D125" s="2">
        <v>-2.9581E-3</v>
      </c>
      <c r="E125" s="3">
        <f t="shared" si="4"/>
        <v>102.7272559807804</v>
      </c>
      <c r="F125">
        <v>-9.7700930200517091E-4</v>
      </c>
      <c r="G125">
        <f t="shared" si="5"/>
        <v>102.93137178700084</v>
      </c>
    </row>
    <row r="126" spans="1:7">
      <c r="A126" s="1">
        <v>36647</v>
      </c>
      <c r="B126">
        <v>103.279129791719</v>
      </c>
      <c r="C126">
        <f t="shared" si="3"/>
        <v>4.6338542666413574E-2</v>
      </c>
      <c r="D126" s="2">
        <v>3.4250600000000002E-3</v>
      </c>
      <c r="E126" s="3">
        <f t="shared" si="4"/>
        <v>98.940235493167165</v>
      </c>
      <c r="F126">
        <v>2.46115564368665E-3</v>
      </c>
      <c r="G126">
        <f t="shared" si="5"/>
        <v>98.845192098490003</v>
      </c>
    </row>
    <row r="127" spans="1:7">
      <c r="A127" s="1">
        <v>36678</v>
      </c>
      <c r="B127">
        <v>101.67374882099099</v>
      </c>
      <c r="C127">
        <f t="shared" si="3"/>
        <v>-1.5666174736213456E-2</v>
      </c>
      <c r="D127" s="2">
        <v>4.2912999999999996E-3</v>
      </c>
      <c r="E127" s="3">
        <f t="shared" si="4"/>
        <v>103.72233152139421</v>
      </c>
      <c r="F127">
        <v>3.2741092145442902E-3</v>
      </c>
      <c r="G127">
        <f t="shared" si="5"/>
        <v>103.61727694224018</v>
      </c>
    </row>
    <row r="128" spans="1:7">
      <c r="A128" s="1">
        <v>36708</v>
      </c>
      <c r="B128">
        <v>96.405093149247307</v>
      </c>
      <c r="C128">
        <f t="shared" si="3"/>
        <v>-5.3210112328181403E-2</v>
      </c>
      <c r="D128" s="2">
        <v>7.9496099999999993E-3</v>
      </c>
      <c r="E128" s="3">
        <f t="shared" si="4"/>
        <v>102.48201547135584</v>
      </c>
      <c r="F128">
        <v>-1.8509555608034099E-2</v>
      </c>
      <c r="G128">
        <f t="shared" si="5"/>
        <v>99.791812913311574</v>
      </c>
    </row>
    <row r="129" spans="1:7">
      <c r="A129" s="1">
        <v>36739</v>
      </c>
      <c r="B129">
        <v>98.617375456734607</v>
      </c>
      <c r="C129">
        <f t="shared" si="3"/>
        <v>2.2688434034835225E-2</v>
      </c>
      <c r="D129" s="2">
        <v>-1.3891199999999999E-2</v>
      </c>
      <c r="E129" s="3">
        <f t="shared" si="4"/>
        <v>95.065910719292489</v>
      </c>
      <c r="F129">
        <v>3.2419695053249502E-3</v>
      </c>
      <c r="G129">
        <f t="shared" si="5"/>
        <v>96.717635521395181</v>
      </c>
    </row>
    <row r="130" spans="1:7">
      <c r="A130" s="1">
        <v>36770</v>
      </c>
      <c r="B130">
        <v>103.846216920655</v>
      </c>
      <c r="C130">
        <f t="shared" si="3"/>
        <v>5.1663653600727777E-2</v>
      </c>
      <c r="D130" s="2">
        <v>-9.6182000000000004E-3</v>
      </c>
      <c r="E130" s="3">
        <f t="shared" si="4"/>
        <v>97.668853816116638</v>
      </c>
      <c r="F130">
        <v>-2.9222897137515198E-4</v>
      </c>
      <c r="G130">
        <f t="shared" si="5"/>
        <v>98.588556602545168</v>
      </c>
    </row>
    <row r="131" spans="1:7">
      <c r="A131" s="1">
        <v>36800</v>
      </c>
      <c r="B131">
        <v>102.121967645341</v>
      </c>
      <c r="C131">
        <f t="shared" si="3"/>
        <v>-1.6743261194785752E-2</v>
      </c>
      <c r="D131" s="2">
        <v>4.3580900000000002E-3</v>
      </c>
      <c r="E131" s="3">
        <f t="shared" si="4"/>
        <v>104.29878808015474</v>
      </c>
      <c r="F131">
        <v>5.1170312799513297E-3</v>
      </c>
      <c r="G131">
        <f t="shared" si="5"/>
        <v>104.3776012609426</v>
      </c>
    </row>
    <row r="132" spans="1:7">
      <c r="A132" s="1">
        <v>36831</v>
      </c>
      <c r="B132">
        <v>97.582375509017098</v>
      </c>
      <c r="C132">
        <f t="shared" ref="C132:C195" si="6">LN(B132)-LN(B131)</f>
        <v>-4.5470961848375069E-2</v>
      </c>
      <c r="D132" s="2">
        <v>1.279076E-2</v>
      </c>
      <c r="E132" s="3">
        <f t="shared" si="4"/>
        <v>103.42818522422033</v>
      </c>
      <c r="F132">
        <v>7.8263590112328495E-3</v>
      </c>
      <c r="G132">
        <f t="shared" si="5"/>
        <v>102.92121082706694</v>
      </c>
    </row>
    <row r="133" spans="1:7">
      <c r="A133" s="1">
        <v>36861</v>
      </c>
      <c r="B133">
        <v>102.62938941074501</v>
      </c>
      <c r="C133">
        <f t="shared" si="6"/>
        <v>5.0427439905514682E-2</v>
      </c>
      <c r="D133" s="2">
        <v>-5.6217000000000003E-3</v>
      </c>
      <c r="E133" s="3">
        <f t="shared" ref="E133:E196" si="7">B132*D133+B132</f>
        <v>97.033796668618052</v>
      </c>
      <c r="F133">
        <v>-1.4162063598632799E-3</v>
      </c>
      <c r="G133">
        <f t="shared" si="5"/>
        <v>97.444178728210659</v>
      </c>
    </row>
    <row r="134" spans="1:7">
      <c r="A134" s="1">
        <v>36892</v>
      </c>
      <c r="B134">
        <v>98.547952709139395</v>
      </c>
      <c r="C134">
        <f t="shared" si="6"/>
        <v>-4.0581078967790951E-2</v>
      </c>
      <c r="D134" s="2">
        <v>-1.6155E-3</v>
      </c>
      <c r="E134" s="3">
        <f t="shared" si="7"/>
        <v>102.46359163215195</v>
      </c>
      <c r="F134">
        <v>-2.05151736736297E-3</v>
      </c>
      <c r="G134">
        <f t="shared" si="5"/>
        <v>102.41884343596701</v>
      </c>
    </row>
    <row r="135" spans="1:7">
      <c r="A135" s="1">
        <v>36923</v>
      </c>
      <c r="B135">
        <v>100.577121140532</v>
      </c>
      <c r="C135">
        <f t="shared" si="6"/>
        <v>2.0381548501088531E-2</v>
      </c>
      <c r="D135" s="2">
        <v>3.9915000000000003E-4</v>
      </c>
      <c r="E135" s="3">
        <f t="shared" si="7"/>
        <v>98.587288124463242</v>
      </c>
      <c r="F135">
        <v>7.9586450010538101E-4</v>
      </c>
      <c r="G135">
        <f t="shared" ref="G135:G198" si="8">B134*F135+B134</f>
        <v>98.626383526258664</v>
      </c>
    </row>
    <row r="136" spans="1:7">
      <c r="A136" s="1">
        <v>36951</v>
      </c>
      <c r="B136">
        <v>102.597137770315</v>
      </c>
      <c r="C136">
        <f t="shared" si="6"/>
        <v>1.988522762156375E-2</v>
      </c>
      <c r="D136" s="2">
        <v>-8.0829999999999997E-4</v>
      </c>
      <c r="E136" s="3">
        <f t="shared" si="7"/>
        <v>100.49582465351411</v>
      </c>
      <c r="F136">
        <v>-7.69063946790993E-4</v>
      </c>
      <c r="G136">
        <f t="shared" si="8"/>
        <v>100.49977090279079</v>
      </c>
    </row>
    <row r="137" spans="1:7">
      <c r="A137" s="1">
        <v>36982</v>
      </c>
      <c r="B137">
        <v>100.51441564363</v>
      </c>
      <c r="C137">
        <f t="shared" si="6"/>
        <v>-2.0508878919248019E-2</v>
      </c>
      <c r="D137" s="2">
        <v>5.1219189999999998E-2</v>
      </c>
      <c r="E137" s="3">
        <f t="shared" si="7"/>
        <v>107.85208006322894</v>
      </c>
      <c r="F137">
        <v>-1.9151641055941498E-2</v>
      </c>
      <c r="G137">
        <f t="shared" si="8"/>
        <v>100.63223421437095</v>
      </c>
    </row>
    <row r="138" spans="1:7">
      <c r="A138" s="1">
        <v>37012</v>
      </c>
      <c r="B138">
        <v>100.47223836133</v>
      </c>
      <c r="C138">
        <f t="shared" si="6"/>
        <v>-4.1970232429555665E-4</v>
      </c>
      <c r="D138" s="2">
        <v>-7.2579900000000003E-2</v>
      </c>
      <c r="E138" s="3">
        <f t="shared" si="7"/>
        <v>93.219089407656895</v>
      </c>
      <c r="F138">
        <v>2.4638518691062899E-2</v>
      </c>
      <c r="G138">
        <f t="shared" si="8"/>
        <v>102.99094195218684</v>
      </c>
    </row>
    <row r="139" spans="1:7">
      <c r="A139" s="1">
        <v>37043</v>
      </c>
      <c r="B139">
        <v>99.786184310975699</v>
      </c>
      <c r="C139">
        <f t="shared" si="6"/>
        <v>-6.8517141516881708E-3</v>
      </c>
      <c r="D139" s="2">
        <v>1.820921E-2</v>
      </c>
      <c r="E139" s="3">
        <f t="shared" si="7"/>
        <v>102.30175844882152</v>
      </c>
      <c r="F139">
        <v>-8.6383530870079994E-3</v>
      </c>
      <c r="G139">
        <f t="shared" si="8"/>
        <v>99.604323690922797</v>
      </c>
    </row>
    <row r="140" spans="1:7">
      <c r="A140" s="1">
        <v>37073</v>
      </c>
      <c r="B140">
        <v>103.065325415448</v>
      </c>
      <c r="C140">
        <f t="shared" si="6"/>
        <v>3.2333274550102153E-2</v>
      </c>
      <c r="D140" s="2">
        <v>6.9720399999999997E-3</v>
      </c>
      <c r="E140" s="3">
        <f t="shared" si="7"/>
        <v>100.48189757943919</v>
      </c>
      <c r="F140">
        <v>1.07053890824317E-2</v>
      </c>
      <c r="G140">
        <f t="shared" si="8"/>
        <v>100.85443423907594</v>
      </c>
    </row>
    <row r="141" spans="1:7">
      <c r="A141" s="1">
        <v>37104</v>
      </c>
      <c r="B141">
        <v>99.897059315832607</v>
      </c>
      <c r="C141">
        <f t="shared" si="6"/>
        <v>-3.1222765583624579E-2</v>
      </c>
      <c r="D141" s="2">
        <v>3.4870999999999999E-3</v>
      </c>
      <c r="E141" s="3">
        <f t="shared" si="7"/>
        <v>103.42472451170421</v>
      </c>
      <c r="F141">
        <v>-7.1443836204707597E-3</v>
      </c>
      <c r="G141">
        <f t="shared" si="8"/>
        <v>102.32898719271138</v>
      </c>
    </row>
    <row r="142" spans="1:7">
      <c r="A142" s="1">
        <v>37135</v>
      </c>
      <c r="B142">
        <v>101.231088330365</v>
      </c>
      <c r="C142">
        <f t="shared" si="6"/>
        <v>1.326565767511223E-2</v>
      </c>
      <c r="D142" s="2">
        <v>8.4949000000000005E-4</v>
      </c>
      <c r="E142" s="3">
        <f t="shared" si="7"/>
        <v>99.981920868750819</v>
      </c>
      <c r="F142">
        <v>7.7476282604038698E-3</v>
      </c>
      <c r="G142">
        <f t="shared" si="8"/>
        <v>100.67102459571919</v>
      </c>
    </row>
    <row r="143" spans="1:7">
      <c r="A143" s="1">
        <v>37165</v>
      </c>
      <c r="B143">
        <v>104.731087417331</v>
      </c>
      <c r="C143">
        <f t="shared" si="6"/>
        <v>3.3990086167555944E-2</v>
      </c>
      <c r="D143" s="2">
        <v>-1.1092999999999999E-3</v>
      </c>
      <c r="E143" s="3">
        <f t="shared" si="7"/>
        <v>101.11879268408012</v>
      </c>
      <c r="F143">
        <v>0.31782779097557001</v>
      </c>
      <c r="G143">
        <f t="shared" si="8"/>
        <v>133.4051415124577</v>
      </c>
    </row>
    <row r="144" spans="1:7">
      <c r="A144" s="1">
        <v>37196</v>
      </c>
      <c r="B144">
        <v>99.561176681096597</v>
      </c>
      <c r="C144">
        <f t="shared" si="6"/>
        <v>-5.0623696542672292E-2</v>
      </c>
      <c r="D144" s="2">
        <v>-6.5930000000000003E-4</v>
      </c>
      <c r="E144" s="3">
        <f t="shared" si="7"/>
        <v>104.66203821139675</v>
      </c>
      <c r="F144">
        <v>-0.32562547922134399</v>
      </c>
      <c r="G144">
        <f t="shared" si="8"/>
        <v>70.627976887690124</v>
      </c>
    </row>
    <row r="145" spans="1:8">
      <c r="A145" s="1">
        <v>37226</v>
      </c>
      <c r="B145">
        <v>99.287796318349805</v>
      </c>
      <c r="C145">
        <f t="shared" si="6"/>
        <v>-2.7496298408111741E-3</v>
      </c>
      <c r="D145" s="2">
        <v>-2.5000000000000001E-4</v>
      </c>
      <c r="E145" s="3">
        <f t="shared" si="7"/>
        <v>99.536286386926321</v>
      </c>
      <c r="F145">
        <v>5.7791192084550797E-3</v>
      </c>
      <c r="G145">
        <f t="shared" si="8"/>
        <v>100.13655258967071</v>
      </c>
      <c r="H145" s="3"/>
    </row>
    <row r="146" spans="1:8">
      <c r="A146" s="1">
        <v>37257</v>
      </c>
      <c r="B146">
        <v>101.652085762795</v>
      </c>
      <c r="C146">
        <f t="shared" si="6"/>
        <v>2.3533392524761609E-2</v>
      </c>
      <c r="D146" s="2">
        <v>-3.1551999999999999E-3</v>
      </c>
      <c r="E146" s="3">
        <f t="shared" si="7"/>
        <v>98.974523463406143</v>
      </c>
      <c r="F146">
        <v>-8.3278389647603E-3</v>
      </c>
      <c r="G146">
        <f t="shared" si="8"/>
        <v>98.460943539444671</v>
      </c>
    </row>
    <row r="147" spans="1:8">
      <c r="A147" s="1">
        <v>37288</v>
      </c>
      <c r="B147">
        <v>101.070934586916</v>
      </c>
      <c r="C147">
        <f t="shared" si="6"/>
        <v>-5.7334659563865742E-3</v>
      </c>
      <c r="D147" s="2">
        <v>-5.7603000000000003E-3</v>
      </c>
      <c r="E147" s="3">
        <f t="shared" si="7"/>
        <v>101.06653925317556</v>
      </c>
      <c r="F147">
        <v>1.2627258896827601E-2</v>
      </c>
      <c r="G147">
        <f t="shared" si="8"/>
        <v>102.93567296712433</v>
      </c>
    </row>
    <row r="148" spans="1:8">
      <c r="A148" s="1">
        <v>37316</v>
      </c>
      <c r="B148">
        <v>99.097728338444796</v>
      </c>
      <c r="C148">
        <f t="shared" si="6"/>
        <v>-1.9716074819499774E-2</v>
      </c>
      <c r="D148" s="2">
        <v>3.10341E-3</v>
      </c>
      <c r="E148" s="3">
        <f t="shared" si="7"/>
        <v>101.38459913602237</v>
      </c>
      <c r="F148">
        <v>-1.0111492127180099E-2</v>
      </c>
      <c r="G148">
        <f t="shared" si="8"/>
        <v>100.04895662755366</v>
      </c>
    </row>
    <row r="149" spans="1:8">
      <c r="A149" s="1">
        <v>37347</v>
      </c>
      <c r="B149">
        <v>98.947450352465395</v>
      </c>
      <c r="C149">
        <f t="shared" si="6"/>
        <v>-1.5176134639132144E-3</v>
      </c>
      <c r="D149" s="2">
        <v>5.0145099999999998E-3</v>
      </c>
      <c r="E149" s="3">
        <f t="shared" si="7"/>
        <v>99.594654888175214</v>
      </c>
      <c r="F149">
        <v>-1.24622054863721E-3</v>
      </c>
      <c r="G149">
        <f t="shared" si="8"/>
        <v>98.974230713066163</v>
      </c>
    </row>
    <row r="150" spans="1:8">
      <c r="A150" s="1">
        <v>37377</v>
      </c>
      <c r="B150">
        <v>101.546507785329</v>
      </c>
      <c r="C150">
        <f t="shared" si="6"/>
        <v>2.5927993632206991E-2</v>
      </c>
      <c r="D150" s="2">
        <v>1.14507E-3</v>
      </c>
      <c r="E150" s="3">
        <f t="shared" si="7"/>
        <v>99.060752109440486</v>
      </c>
      <c r="F150">
        <v>-6.5739371348172405E-4</v>
      </c>
      <c r="G150">
        <f t="shared" si="8"/>
        <v>98.88240292063864</v>
      </c>
    </row>
    <row r="151" spans="1:8">
      <c r="A151" s="1">
        <v>37408</v>
      </c>
      <c r="B151">
        <v>99.934843807614399</v>
      </c>
      <c r="C151">
        <f t="shared" si="6"/>
        <v>-1.5998486614137164E-2</v>
      </c>
      <c r="D151" s="2">
        <v>-1.0782099999999999E-2</v>
      </c>
      <c r="E151" s="3">
        <f t="shared" si="7"/>
        <v>100.4516231837368</v>
      </c>
      <c r="F151">
        <v>-2.7188854292035099E-3</v>
      </c>
      <c r="G151">
        <f t="shared" si="8"/>
        <v>101.27041446492497</v>
      </c>
    </row>
    <row r="152" spans="1:8">
      <c r="A152" s="1">
        <v>37438</v>
      </c>
      <c r="B152">
        <v>98.745780848243797</v>
      </c>
      <c r="C152">
        <f t="shared" si="6"/>
        <v>-1.1969734424453371E-2</v>
      </c>
      <c r="D152" s="2">
        <v>-2.0633000000000001E-3</v>
      </c>
      <c r="E152" s="3">
        <f t="shared" si="7"/>
        <v>99.72864824438615</v>
      </c>
      <c r="F152">
        <v>2.7808588929474302E-3</v>
      </c>
      <c r="G152">
        <f t="shared" si="8"/>
        <v>100.21274850673211</v>
      </c>
    </row>
    <row r="153" spans="1:8">
      <c r="A153" s="1">
        <v>37469</v>
      </c>
      <c r="B153">
        <v>102.17242801188701</v>
      </c>
      <c r="C153">
        <f t="shared" si="6"/>
        <v>3.4113179470622867E-2</v>
      </c>
      <c r="D153" s="2">
        <v>-3.2663000000000002E-3</v>
      </c>
      <c r="E153" s="3">
        <f t="shared" si="7"/>
        <v>98.42324750425918</v>
      </c>
      <c r="F153">
        <v>-6.9177690893411602E-3</v>
      </c>
      <c r="G153">
        <f t="shared" si="8"/>
        <v>98.062680337788962</v>
      </c>
    </row>
    <row r="154" spans="1:8">
      <c r="A154" s="1">
        <v>37500</v>
      </c>
      <c r="B154">
        <v>98.886385878448607</v>
      </c>
      <c r="C154">
        <f t="shared" si="6"/>
        <v>-3.2690283023588229E-2</v>
      </c>
      <c r="D154" s="2">
        <v>3.2497099999999998E-3</v>
      </c>
      <c r="E154" s="3">
        <f t="shared" si="7"/>
        <v>102.50445877292151</v>
      </c>
      <c r="F154">
        <v>2.05702777020633E-3</v>
      </c>
      <c r="G154">
        <f t="shared" si="8"/>
        <v>102.38259953365687</v>
      </c>
    </row>
    <row r="155" spans="1:8">
      <c r="A155" s="1">
        <v>37530</v>
      </c>
      <c r="B155">
        <v>100.715893059701</v>
      </c>
      <c r="C155">
        <f t="shared" si="6"/>
        <v>1.8332039359530761E-2</v>
      </c>
      <c r="D155" s="2">
        <v>2.2467300000000002E-3</v>
      </c>
      <c r="E155" s="3">
        <f t="shared" si="7"/>
        <v>99.108556888193291</v>
      </c>
      <c r="F155">
        <v>-2.9950254247523801E-4</v>
      </c>
      <c r="G155">
        <f t="shared" si="8"/>
        <v>98.85676915446183</v>
      </c>
    </row>
    <row r="156" spans="1:8">
      <c r="A156" s="1">
        <v>37561</v>
      </c>
      <c r="B156">
        <v>100.12037690083601</v>
      </c>
      <c r="C156">
        <f t="shared" si="6"/>
        <v>-5.9303820401694907E-3</v>
      </c>
      <c r="D156" s="2">
        <v>3.2899800000000001E-3</v>
      </c>
      <c r="E156" s="3">
        <f t="shared" si="7"/>
        <v>101.04724633354955</v>
      </c>
      <c r="F156">
        <v>2.0450609736144499E-3</v>
      </c>
      <c r="G156">
        <f t="shared" si="8"/>
        <v>100.92186320202012</v>
      </c>
    </row>
    <row r="157" spans="1:8">
      <c r="A157" s="1">
        <v>37591</v>
      </c>
      <c r="B157">
        <v>99.950960576198597</v>
      </c>
      <c r="C157">
        <f t="shared" si="6"/>
        <v>-1.6935595799614234E-3</v>
      </c>
      <c r="D157" s="2">
        <v>-2.2645E-3</v>
      </c>
      <c r="E157" s="3">
        <f t="shared" si="7"/>
        <v>99.893654307344065</v>
      </c>
      <c r="F157">
        <v>1.5266693662851999E-3</v>
      </c>
      <c r="G157">
        <f t="shared" si="8"/>
        <v>100.27322761319144</v>
      </c>
    </row>
    <row r="158" spans="1:8">
      <c r="A158" s="1">
        <v>37622</v>
      </c>
      <c r="B158">
        <v>99.759078585783598</v>
      </c>
      <c r="C158">
        <f t="shared" si="6"/>
        <v>-1.9216064476781369E-3</v>
      </c>
      <c r="D158" s="2">
        <v>4.9208200000000002E-3</v>
      </c>
      <c r="E158" s="3">
        <f t="shared" si="7"/>
        <v>100.44280126202116</v>
      </c>
      <c r="F158">
        <v>5.5368792265653603E-2</v>
      </c>
      <c r="G158">
        <f t="shared" si="8"/>
        <v>105.48512454909466</v>
      </c>
    </row>
    <row r="159" spans="1:8">
      <c r="A159" s="1">
        <v>37653</v>
      </c>
      <c r="B159">
        <v>104.47479635466399</v>
      </c>
      <c r="C159">
        <f t="shared" si="6"/>
        <v>4.6187794086741896E-2</v>
      </c>
      <c r="D159" s="2">
        <v>1.9432609999999999E-2</v>
      </c>
      <c r="E159" s="3">
        <f t="shared" si="7"/>
        <v>101.69765785390048</v>
      </c>
      <c r="F159">
        <v>-4.0991108864545801E-2</v>
      </c>
      <c r="G159">
        <f t="shared" si="8"/>
        <v>95.669843335246966</v>
      </c>
    </row>
    <row r="160" spans="1:8">
      <c r="A160" s="1">
        <v>37681</v>
      </c>
      <c r="B160">
        <v>99.678882828597295</v>
      </c>
      <c r="C160">
        <f t="shared" si="6"/>
        <v>-4.6992011708501202E-2</v>
      </c>
      <c r="D160" s="2">
        <v>-1.40159E-2</v>
      </c>
      <c r="E160" s="3">
        <f t="shared" si="7"/>
        <v>103.01048805643666</v>
      </c>
      <c r="F160">
        <v>-4.04014578089118E-3</v>
      </c>
      <c r="G160">
        <f t="shared" si="8"/>
        <v>104.05270294696223</v>
      </c>
    </row>
    <row r="161" spans="1:8">
      <c r="A161" s="1">
        <v>37712</v>
      </c>
      <c r="B161">
        <v>100.99629425540699</v>
      </c>
      <c r="C161">
        <f t="shared" si="6"/>
        <v>1.3129978229559747E-2</v>
      </c>
      <c r="D161" s="2">
        <v>5.0056000000000005E-4</v>
      </c>
      <c r="E161" s="3">
        <f t="shared" si="7"/>
        <v>99.728778090185983</v>
      </c>
      <c r="F161">
        <v>-1.5972212422639099E-3</v>
      </c>
      <c r="G161">
        <f t="shared" si="8"/>
        <v>99.519673599538322</v>
      </c>
    </row>
    <row r="162" spans="1:8">
      <c r="A162" s="1">
        <v>37742</v>
      </c>
      <c r="B162">
        <v>99.669886165954196</v>
      </c>
      <c r="C162">
        <f t="shared" si="6"/>
        <v>-1.3220238758326452E-2</v>
      </c>
      <c r="D162" s="2">
        <v>-3.6708000000000001E-3</v>
      </c>
      <c r="E162" s="3">
        <f t="shared" si="7"/>
        <v>100.62555705845425</v>
      </c>
      <c r="F162">
        <v>-3.43765411525964E-3</v>
      </c>
      <c r="G162">
        <f t="shared" si="8"/>
        <v>100.64910392883392</v>
      </c>
    </row>
    <row r="163" spans="1:8">
      <c r="A163" s="1">
        <v>37773</v>
      </c>
      <c r="B163">
        <v>101.849628102984</v>
      </c>
      <c r="C163">
        <f t="shared" si="6"/>
        <v>2.1633904377944546E-2</v>
      </c>
      <c r="D163" s="2">
        <v>-1.4369000000000001E-3</v>
      </c>
      <c r="E163" s="3">
        <f t="shared" si="7"/>
        <v>99.526670506522336</v>
      </c>
      <c r="F163">
        <v>4.2773174936883097E-4</v>
      </c>
      <c r="G163">
        <f t="shared" si="8"/>
        <v>99.712518140723347</v>
      </c>
      <c r="H163" s="3"/>
    </row>
    <row r="164" spans="1:8">
      <c r="A164" s="1">
        <v>37803</v>
      </c>
      <c r="B164">
        <v>102.49146039235499</v>
      </c>
      <c r="C164">
        <f t="shared" si="6"/>
        <v>6.2819906151663218E-3</v>
      </c>
      <c r="D164" s="2">
        <v>2.6916399999999999E-3</v>
      </c>
      <c r="E164" s="3">
        <f t="shared" si="7"/>
        <v>102.12377063597111</v>
      </c>
      <c r="F164">
        <v>2.4793061893433302E-3</v>
      </c>
      <c r="G164">
        <f t="shared" si="8"/>
        <v>102.10214451632204</v>
      </c>
    </row>
    <row r="165" spans="1:8">
      <c r="A165" s="1">
        <v>37834</v>
      </c>
      <c r="B165">
        <v>99.286184692578303</v>
      </c>
      <c r="C165">
        <f t="shared" si="6"/>
        <v>-3.1773047453288683E-2</v>
      </c>
      <c r="D165" s="2">
        <v>-1.7746999999999999E-3</v>
      </c>
      <c r="E165" s="3">
        <f t="shared" si="7"/>
        <v>102.30956879759668</v>
      </c>
      <c r="F165">
        <v>-1.7216651467606399E-3</v>
      </c>
      <c r="G165">
        <f t="shared" si="8"/>
        <v>102.31500441715689</v>
      </c>
    </row>
    <row r="166" spans="1:8">
      <c r="A166" s="1">
        <v>37865</v>
      </c>
      <c r="B166">
        <v>101.912395113551</v>
      </c>
      <c r="C166">
        <f t="shared" si="6"/>
        <v>2.6107138397987839E-2</v>
      </c>
      <c r="D166" s="2">
        <v>2.9571200000000001E-3</v>
      </c>
      <c r="E166" s="3">
        <f t="shared" si="7"/>
        <v>99.579785855056414</v>
      </c>
      <c r="F166">
        <v>3.1163997482508399E-3</v>
      </c>
      <c r="G166">
        <f t="shared" si="8"/>
        <v>99.595600133559046</v>
      </c>
    </row>
    <row r="167" spans="1:8">
      <c r="A167" s="1">
        <v>37895</v>
      </c>
      <c r="B167">
        <v>102.37404388027301</v>
      </c>
      <c r="C167">
        <f t="shared" si="6"/>
        <v>4.51962993568511E-3</v>
      </c>
      <c r="D167" s="2">
        <v>3.49374E-3</v>
      </c>
      <c r="E167" s="3">
        <f t="shared" si="7"/>
        <v>102.26845052485501</v>
      </c>
      <c r="F167">
        <v>-1.9714646041393202E-3</v>
      </c>
      <c r="G167">
        <f t="shared" si="8"/>
        <v>101.71147843386157</v>
      </c>
    </row>
    <row r="168" spans="1:8">
      <c r="A168" s="1">
        <v>37926</v>
      </c>
      <c r="B168">
        <v>102.728637639696</v>
      </c>
      <c r="C168">
        <f t="shared" si="6"/>
        <v>3.4577228350620715E-3</v>
      </c>
      <c r="D168" s="2">
        <v>3.1400600000000001E-3</v>
      </c>
      <c r="E168" s="3">
        <f t="shared" si="7"/>
        <v>102.6955045204997</v>
      </c>
      <c r="F168">
        <v>6.5497513860464096E-3</v>
      </c>
      <c r="G168">
        <f t="shared" si="8"/>
        <v>103.04456841607301</v>
      </c>
    </row>
    <row r="169" spans="1:8">
      <c r="A169" s="1">
        <v>37956</v>
      </c>
      <c r="B169">
        <v>101.451220513666</v>
      </c>
      <c r="C169">
        <f t="shared" si="6"/>
        <v>-1.2512828686763733E-2</v>
      </c>
      <c r="D169" s="2">
        <v>2.7522200000000001E-3</v>
      </c>
      <c r="E169" s="3">
        <f t="shared" si="7"/>
        <v>103.01136945078073</v>
      </c>
      <c r="F169">
        <v>4.80773951858282E-3</v>
      </c>
      <c r="G169">
        <f t="shared" si="8"/>
        <v>103.22253017056654</v>
      </c>
    </row>
    <row r="170" spans="1:8">
      <c r="A170" s="1">
        <v>37987</v>
      </c>
      <c r="B170">
        <v>99.199329678124499</v>
      </c>
      <c r="C170">
        <f t="shared" si="6"/>
        <v>-2.2446839900061022E-2</v>
      </c>
      <c r="D170" s="2">
        <v>-3.4090000000000001E-3</v>
      </c>
      <c r="E170" s="3">
        <f t="shared" si="7"/>
        <v>101.10537330293491</v>
      </c>
      <c r="F170">
        <v>-7.6766177080571599E-3</v>
      </c>
      <c r="G170">
        <f t="shared" si="8"/>
        <v>100.67241827776678</v>
      </c>
    </row>
    <row r="171" spans="1:8">
      <c r="A171" s="1">
        <v>38018</v>
      </c>
      <c r="B171">
        <v>100.207097594223</v>
      </c>
      <c r="C171">
        <f t="shared" si="6"/>
        <v>1.010776342479236E-2</v>
      </c>
      <c r="D171" s="2">
        <v>-3.1965000000000001E-3</v>
      </c>
      <c r="E171" s="3">
        <f t="shared" si="7"/>
        <v>98.88223902080837</v>
      </c>
      <c r="F171">
        <v>-6.8188048899173702E-3</v>
      </c>
      <c r="G171">
        <f t="shared" si="8"/>
        <v>98.522908803838774</v>
      </c>
    </row>
    <row r="172" spans="1:8">
      <c r="A172" s="1">
        <v>38047</v>
      </c>
      <c r="B172">
        <v>99.344406846262601</v>
      </c>
      <c r="C172">
        <f t="shared" si="6"/>
        <v>-8.6463504736897789E-3</v>
      </c>
      <c r="D172" s="2">
        <v>-1.9178199999999999E-2</v>
      </c>
      <c r="E172" s="3">
        <f t="shared" si="7"/>
        <v>98.285305835141472</v>
      </c>
      <c r="F172">
        <v>-1.12882871180772E-2</v>
      </c>
      <c r="G172">
        <f t="shared" si="8"/>
        <v>99.075931105310232</v>
      </c>
    </row>
    <row r="173" spans="1:8">
      <c r="A173" s="1">
        <v>38078</v>
      </c>
      <c r="B173">
        <v>97.922071820908101</v>
      </c>
      <c r="C173">
        <f t="shared" si="6"/>
        <v>-1.4420693100188231E-2</v>
      </c>
      <c r="D173" s="2">
        <v>5.3023999999999996E-4</v>
      </c>
      <c r="E173" s="3">
        <f t="shared" si="7"/>
        <v>99.397083224548766</v>
      </c>
      <c r="F173">
        <v>6.4501067390665401E-4</v>
      </c>
      <c r="G173">
        <f t="shared" si="8"/>
        <v>99.408485049071359</v>
      </c>
    </row>
    <row r="174" spans="1:8">
      <c r="A174" s="1">
        <v>38108</v>
      </c>
      <c r="B174">
        <v>100.010518651515</v>
      </c>
      <c r="C174">
        <f t="shared" si="6"/>
        <v>2.1103390129587396E-2</v>
      </c>
      <c r="D174" s="4">
        <v>9.0600000000000007E-5</v>
      </c>
      <c r="E174" s="3">
        <f t="shared" si="7"/>
        <v>97.930943560615077</v>
      </c>
      <c r="F174">
        <v>7.1292149368673498E-4</v>
      </c>
      <c r="G174">
        <f t="shared" si="8"/>
        <v>97.991882570615559</v>
      </c>
    </row>
    <row r="175" spans="1:8">
      <c r="A175" s="1">
        <v>38139</v>
      </c>
      <c r="B175">
        <v>101.285195938751</v>
      </c>
      <c r="C175">
        <f t="shared" si="6"/>
        <v>1.266489282118588E-2</v>
      </c>
      <c r="D175" s="2">
        <v>9.4096000000000002E-4</v>
      </c>
      <c r="E175" s="3">
        <f t="shared" si="7"/>
        <v>100.10462454914533</v>
      </c>
      <c r="F175">
        <v>2.0386348478495999E-4</v>
      </c>
      <c r="G175">
        <f t="shared" si="8"/>
        <v>100.03090714436244</v>
      </c>
    </row>
    <row r="176" spans="1:8">
      <c r="A176" s="1">
        <v>38169</v>
      </c>
      <c r="B176">
        <v>100.03988472104901</v>
      </c>
      <c r="C176">
        <f t="shared" si="6"/>
        <v>-1.2371306112537894E-2</v>
      </c>
      <c r="D176" s="2">
        <v>3.1611600000000001E-3</v>
      </c>
      <c r="E176" s="3">
        <f t="shared" si="7"/>
        <v>101.60537464874474</v>
      </c>
      <c r="F176">
        <v>2.7922519948333502E-3</v>
      </c>
      <c r="G176">
        <f t="shared" si="8"/>
        <v>101.56800972915806</v>
      </c>
    </row>
    <row r="177" spans="1:7">
      <c r="A177" s="1">
        <v>38200</v>
      </c>
      <c r="B177">
        <v>100.392965144258</v>
      </c>
      <c r="C177">
        <f t="shared" si="6"/>
        <v>3.5231828382737973E-3</v>
      </c>
      <c r="D177" s="2">
        <v>5.0664000000000004E-3</v>
      </c>
      <c r="E177" s="3">
        <f t="shared" si="7"/>
        <v>100.54672679299973</v>
      </c>
      <c r="F177">
        <v>5.7625132612884001E-3</v>
      </c>
      <c r="G177">
        <f t="shared" si="8"/>
        <v>100.61636588341182</v>
      </c>
    </row>
    <row r="178" spans="1:7">
      <c r="A178" s="1">
        <v>38231</v>
      </c>
      <c r="B178">
        <v>101.81942297580299</v>
      </c>
      <c r="C178">
        <f t="shared" si="6"/>
        <v>1.410874483894542E-2</v>
      </c>
      <c r="D178" s="2">
        <v>1.86275E-3</v>
      </c>
      <c r="E178" s="3">
        <f t="shared" si="7"/>
        <v>100.57997214008047</v>
      </c>
      <c r="F178">
        <v>1.5355533687397801E-3</v>
      </c>
      <c r="G178">
        <f t="shared" si="8"/>
        <v>100.54712390008304</v>
      </c>
    </row>
    <row r="179" spans="1:7">
      <c r="A179" s="1">
        <v>38261</v>
      </c>
      <c r="B179">
        <v>102.482174977531</v>
      </c>
      <c r="C179">
        <f t="shared" si="6"/>
        <v>6.4879994400133256E-3</v>
      </c>
      <c r="D179" s="2">
        <v>7.9887000000000003E-4</v>
      </c>
      <c r="E179" s="3">
        <f t="shared" si="7"/>
        <v>101.90076345823567</v>
      </c>
      <c r="F179">
        <v>1.69615936465561E-3</v>
      </c>
      <c r="G179">
        <f t="shared" si="8"/>
        <v>101.99212494358723</v>
      </c>
    </row>
    <row r="180" spans="1:7">
      <c r="A180" s="1">
        <v>38292</v>
      </c>
      <c r="B180">
        <v>99.041600925624905</v>
      </c>
      <c r="C180">
        <f t="shared" si="6"/>
        <v>-3.4148907556941666E-2</v>
      </c>
      <c r="D180" s="2">
        <v>-1.2120000000000001E-4</v>
      </c>
      <c r="E180" s="3">
        <f t="shared" si="7"/>
        <v>102.46975413792373</v>
      </c>
      <c r="F180">
        <v>-6.8379985168576197E-4</v>
      </c>
      <c r="G180">
        <f t="shared" si="8"/>
        <v>102.41209768148093</v>
      </c>
    </row>
    <row r="181" spans="1:7">
      <c r="A181" s="1">
        <v>38322</v>
      </c>
      <c r="B181">
        <v>101.695353220513</v>
      </c>
      <c r="C181">
        <f t="shared" si="6"/>
        <v>2.6441637723110034E-2</v>
      </c>
      <c r="D181" s="2">
        <v>2.5160400000000002E-3</v>
      </c>
      <c r="E181" s="3">
        <f t="shared" si="7"/>
        <v>99.290793555217817</v>
      </c>
      <c r="F181">
        <v>2.1813737694173999E-3</v>
      </c>
      <c r="G181">
        <f t="shared" si="8"/>
        <v>99.257647675965174</v>
      </c>
    </row>
    <row r="182" spans="1:7">
      <c r="A182" s="1">
        <v>38353</v>
      </c>
      <c r="B182">
        <v>100.28116916151301</v>
      </c>
      <c r="C182">
        <f t="shared" si="6"/>
        <v>-1.4003678771435268E-2</v>
      </c>
      <c r="D182" s="2">
        <v>1.9962049999999999E-2</v>
      </c>
      <c r="E182" s="3">
        <f t="shared" si="7"/>
        <v>103.72540094626854</v>
      </c>
      <c r="F182">
        <v>-1.8366372212767601E-2</v>
      </c>
      <c r="G182">
        <f t="shared" si="8"/>
        <v>99.827578510956187</v>
      </c>
    </row>
    <row r="183" spans="1:7">
      <c r="A183" s="1">
        <v>38384</v>
      </c>
      <c r="B183">
        <v>98.704063822527402</v>
      </c>
      <c r="C183">
        <f t="shared" si="6"/>
        <v>-1.5851813119788893E-2</v>
      </c>
      <c r="D183" s="2">
        <v>-4.7904000000000002E-3</v>
      </c>
      <c r="E183" s="3">
        <f t="shared" si="7"/>
        <v>99.800782248761692</v>
      </c>
      <c r="F183">
        <v>-3.7677511572837799E-3</v>
      </c>
      <c r="G183">
        <f t="shared" si="8"/>
        <v>99.903334670350944</v>
      </c>
    </row>
    <row r="184" spans="1:7">
      <c r="A184" s="1">
        <v>38412</v>
      </c>
      <c r="B184">
        <v>98.267021340302193</v>
      </c>
      <c r="C184">
        <f t="shared" si="6"/>
        <v>-4.4376381342816629E-3</v>
      </c>
      <c r="D184" s="2">
        <v>-3.5046300000000002E-2</v>
      </c>
      <c r="E184" s="3">
        <f t="shared" si="7"/>
        <v>95.244851590583963</v>
      </c>
      <c r="F184">
        <v>2.2594993934035301E-3</v>
      </c>
      <c r="G184">
        <f t="shared" si="8"/>
        <v>98.92708559486087</v>
      </c>
    </row>
    <row r="185" spans="1:7">
      <c r="A185" s="1">
        <v>38443</v>
      </c>
      <c r="B185">
        <v>102.581619784059</v>
      </c>
      <c r="C185">
        <f t="shared" si="6"/>
        <v>4.2970291345439726E-2</v>
      </c>
      <c r="D185" s="2">
        <v>8.4102299999999994E-3</v>
      </c>
      <c r="E185" s="3">
        <f t="shared" si="7"/>
        <v>99.093469591189049</v>
      </c>
      <c r="F185">
        <v>2.6377791538834499E-2</v>
      </c>
      <c r="G185">
        <f t="shared" si="8"/>
        <v>100.85908834435888</v>
      </c>
    </row>
    <row r="186" spans="1:7">
      <c r="A186" s="1">
        <v>38473</v>
      </c>
      <c r="B186">
        <v>105.412385292404</v>
      </c>
      <c r="C186">
        <f t="shared" si="6"/>
        <v>2.7221364438348772E-2</v>
      </c>
      <c r="D186" s="2">
        <v>1.9744919999999999E-2</v>
      </c>
      <c r="E186" s="3">
        <f t="shared" si="7"/>
        <v>104.60708566016567</v>
      </c>
      <c r="F186">
        <v>5.2464932203292798E-2</v>
      </c>
      <c r="G186">
        <f t="shared" si="8"/>
        <v>107.96355751133362</v>
      </c>
    </row>
    <row r="187" spans="1:7">
      <c r="A187" s="1">
        <v>38504</v>
      </c>
      <c r="B187">
        <v>101.980194338345</v>
      </c>
      <c r="C187">
        <f t="shared" si="6"/>
        <v>-3.3101515445116192E-2</v>
      </c>
      <c r="D187" s="2">
        <v>1.3752800000000001E-2</v>
      </c>
      <c r="E187" s="3">
        <f t="shared" si="7"/>
        <v>106.86210074485336</v>
      </c>
      <c r="F187">
        <v>-3.6934778094291597E-2</v>
      </c>
      <c r="G187">
        <f t="shared" si="8"/>
        <v>101.51900223323909</v>
      </c>
    </row>
    <row r="188" spans="1:7">
      <c r="A188" s="1">
        <v>38534</v>
      </c>
      <c r="B188">
        <v>102.35508935448</v>
      </c>
      <c r="C188">
        <f t="shared" si="6"/>
        <v>3.669414601440657E-3</v>
      </c>
      <c r="D188" s="2">
        <v>0.18244632</v>
      </c>
      <c r="E188" s="3">
        <f t="shared" si="7"/>
        <v>120.58610550826089</v>
      </c>
      <c r="F188">
        <v>-4.6403352171182598E-2</v>
      </c>
      <c r="G188">
        <f t="shared" si="8"/>
        <v>97.24797146597713</v>
      </c>
    </row>
    <row r="189" spans="1:7">
      <c r="A189" s="1">
        <v>38565</v>
      </c>
      <c r="B189">
        <v>100.0668866246</v>
      </c>
      <c r="C189">
        <f t="shared" si="6"/>
        <v>-2.260920723542359E-2</v>
      </c>
      <c r="D189" s="2">
        <v>6.5055360000000007E-2</v>
      </c>
      <c r="E189" s="3">
        <f t="shared" si="7"/>
        <v>109.01383654026786</v>
      </c>
      <c r="F189">
        <v>1.41932647675275E-2</v>
      </c>
      <c r="G189">
        <f t="shared" si="8"/>
        <v>103.80784223799208</v>
      </c>
    </row>
    <row r="190" spans="1:7">
      <c r="A190" s="1">
        <v>38596</v>
      </c>
      <c r="B190">
        <v>98.022235039072001</v>
      </c>
      <c r="C190">
        <f t="shared" si="6"/>
        <v>-2.0644487553616919E-2</v>
      </c>
      <c r="D190" s="2">
        <v>-0.2787287</v>
      </c>
      <c r="E190" s="3">
        <f t="shared" si="7"/>
        <v>72.175373402677849</v>
      </c>
      <c r="F190">
        <v>9.8310515750199491E-4</v>
      </c>
      <c r="G190">
        <f t="shared" si="8"/>
        <v>100.16526289693581</v>
      </c>
    </row>
    <row r="191" spans="1:7">
      <c r="A191" s="1">
        <v>38626</v>
      </c>
      <c r="B191">
        <v>98.144480781798507</v>
      </c>
      <c r="C191">
        <f t="shared" si="6"/>
        <v>1.246345569271945E-3</v>
      </c>
      <c r="D191" s="2">
        <v>-9.5719999999999996E-4</v>
      </c>
      <c r="E191" s="3">
        <f t="shared" si="7"/>
        <v>97.928408155692608</v>
      </c>
      <c r="F191">
        <v>-2.7665059315040702E-4</v>
      </c>
      <c r="G191">
        <f t="shared" si="8"/>
        <v>97.995117129606513</v>
      </c>
    </row>
    <row r="192" spans="1:7">
      <c r="A192" s="1">
        <v>38657</v>
      </c>
      <c r="B192">
        <v>100.31255967918401</v>
      </c>
      <c r="C192">
        <f t="shared" si="6"/>
        <v>2.1850221598418429E-2</v>
      </c>
      <c r="D192" s="2">
        <v>6.4586000000000005E-4</v>
      </c>
      <c r="E192" s="3">
        <f t="shared" si="7"/>
        <v>98.207868376156242</v>
      </c>
      <c r="F192">
        <v>-4.6059099258854899E-4</v>
      </c>
      <c r="G192">
        <f t="shared" si="8"/>
        <v>98.099276317978124</v>
      </c>
    </row>
    <row r="193" spans="1:8">
      <c r="A193" s="1">
        <v>38687</v>
      </c>
      <c r="B193">
        <v>101.79733662581</v>
      </c>
      <c r="C193">
        <f t="shared" si="6"/>
        <v>1.4693032706039943E-2</v>
      </c>
      <c r="D193" s="2">
        <v>-3.2069999999999999E-4</v>
      </c>
      <c r="E193" s="3">
        <f t="shared" si="7"/>
        <v>100.28038944129489</v>
      </c>
      <c r="F193">
        <v>1.0519770148675799E-4</v>
      </c>
      <c r="G193">
        <f t="shared" si="8"/>
        <v>100.32311232989251</v>
      </c>
    </row>
    <row r="194" spans="1:8">
      <c r="A194" s="1">
        <v>38718</v>
      </c>
      <c r="B194">
        <v>102.47388640977501</v>
      </c>
      <c r="C194">
        <f t="shared" si="6"/>
        <v>6.6240584231298527E-3</v>
      </c>
      <c r="D194" s="2">
        <v>-3.5316000000000002E-3</v>
      </c>
      <c r="E194" s="3">
        <f t="shared" si="7"/>
        <v>101.4378291517823</v>
      </c>
      <c r="F194">
        <v>1.82218267582356E-3</v>
      </c>
      <c r="G194">
        <f t="shared" si="8"/>
        <v>101.98282996905454</v>
      </c>
    </row>
    <row r="195" spans="1:8">
      <c r="A195" s="1">
        <v>38749</v>
      </c>
      <c r="B195">
        <v>98.549912655868496</v>
      </c>
      <c r="C195">
        <f t="shared" si="6"/>
        <v>-3.9044852080223791E-2</v>
      </c>
      <c r="D195" s="2">
        <v>6.7980599999999999E-3</v>
      </c>
      <c r="E195" s="3">
        <f t="shared" si="7"/>
        <v>103.17051003802185</v>
      </c>
      <c r="F195">
        <v>1.84260110836476E-3</v>
      </c>
      <c r="G195">
        <f t="shared" si="8"/>
        <v>102.66270490645211</v>
      </c>
    </row>
    <row r="196" spans="1:8">
      <c r="A196" s="1">
        <v>38777</v>
      </c>
      <c r="B196">
        <v>100.748751259576</v>
      </c>
      <c r="C196">
        <f t="shared" ref="C196:C259" si="9">LN(B196)-LN(B195)</f>
        <v>2.20666589983054E-2</v>
      </c>
      <c r="D196" s="2">
        <v>1.7770799999999999E-3</v>
      </c>
      <c r="E196" s="3">
        <f t="shared" si="7"/>
        <v>98.725043734650981</v>
      </c>
      <c r="F196">
        <v>1.37876591179519E-3</v>
      </c>
      <c r="G196">
        <f t="shared" si="8"/>
        <v>98.685789916048805</v>
      </c>
    </row>
    <row r="197" spans="1:8">
      <c r="A197" s="1">
        <v>38808</v>
      </c>
      <c r="B197">
        <v>101.630133480903</v>
      </c>
      <c r="C197">
        <f t="shared" si="9"/>
        <v>8.7102742453275539E-3</v>
      </c>
      <c r="D197" s="2">
        <v>-4.0109999999999998E-3</v>
      </c>
      <c r="E197" s="3">
        <f t="shared" ref="E197:E260" si="10">B196*D197+B196</f>
        <v>100.34464801827384</v>
      </c>
      <c r="F197">
        <v>5.6843534111976598E-3</v>
      </c>
      <c r="G197">
        <f t="shared" si="8"/>
        <v>101.32144276747228</v>
      </c>
      <c r="H197" s="3"/>
    </row>
    <row r="198" spans="1:8">
      <c r="A198" s="1">
        <v>38838</v>
      </c>
      <c r="B198">
        <v>98.699951986984203</v>
      </c>
      <c r="C198">
        <f t="shared" si="9"/>
        <v>-2.9255620564155649E-2</v>
      </c>
      <c r="D198" s="2">
        <v>1.7327899999999999E-3</v>
      </c>
      <c r="E198" s="3">
        <f t="shared" si="10"/>
        <v>101.80623715989738</v>
      </c>
      <c r="F198">
        <v>-2.60342936962842E-2</v>
      </c>
      <c r="G198">
        <f t="shared" si="8"/>
        <v>98.984264737468607</v>
      </c>
    </row>
    <row r="199" spans="1:8">
      <c r="A199" s="1">
        <v>38869</v>
      </c>
      <c r="B199">
        <v>99.404186602091102</v>
      </c>
      <c r="C199">
        <f t="shared" si="9"/>
        <v>7.1097715236136949E-3</v>
      </c>
      <c r="D199" s="2">
        <v>-4.4990999999999998E-3</v>
      </c>
      <c r="E199" s="3">
        <f t="shared" si="10"/>
        <v>98.255891032999557</v>
      </c>
      <c r="F199">
        <v>1.3572675175964799E-2</v>
      </c>
      <c r="G199">
        <f t="shared" ref="G199:G262" si="11">B198*F199+B198</f>
        <v>100.03957437518686</v>
      </c>
      <c r="H199" s="3"/>
    </row>
    <row r="200" spans="1:8">
      <c r="A200" s="1">
        <v>38899</v>
      </c>
      <c r="B200">
        <v>100.27188761696</v>
      </c>
      <c r="C200">
        <f t="shared" si="9"/>
        <v>8.6911411909476044E-3</v>
      </c>
      <c r="D200" s="2">
        <v>-1.0024000000000001E-3</v>
      </c>
      <c r="E200" s="3">
        <f t="shared" si="10"/>
        <v>99.30454384544116</v>
      </c>
      <c r="F200">
        <v>1.6221127589233201E-4</v>
      </c>
      <c r="G200">
        <f t="shared" si="11"/>
        <v>99.42031108202886</v>
      </c>
    </row>
    <row r="201" spans="1:8">
      <c r="A201" s="1">
        <v>38930</v>
      </c>
      <c r="B201">
        <v>97.935029906131007</v>
      </c>
      <c r="C201">
        <f t="shared" si="9"/>
        <v>-2.3581074026016502E-2</v>
      </c>
      <c r="D201" s="2">
        <v>-1.6786700000000002E-2</v>
      </c>
      <c r="E201" s="3">
        <f t="shared" si="10"/>
        <v>98.588653521100383</v>
      </c>
      <c r="F201">
        <v>-5.5203391239046998E-3</v>
      </c>
      <c r="G201">
        <f t="shared" si="11"/>
        <v>99.718352792720324</v>
      </c>
    </row>
    <row r="202" spans="1:8">
      <c r="A202" s="1">
        <v>38961</v>
      </c>
      <c r="B202">
        <v>99.380485279570493</v>
      </c>
      <c r="C202">
        <f t="shared" si="9"/>
        <v>1.4651470559194024E-2</v>
      </c>
      <c r="D202" s="2">
        <v>1.0600770000000001E-2</v>
      </c>
      <c r="E202" s="3">
        <f t="shared" si="10"/>
        <v>98.973216633109018</v>
      </c>
      <c r="F202">
        <v>-1.8302218522876501E-3</v>
      </c>
      <c r="G202">
        <f t="shared" si="11"/>
        <v>97.755787074292357</v>
      </c>
    </row>
    <row r="203" spans="1:8">
      <c r="A203" s="1">
        <v>38991</v>
      </c>
      <c r="B203">
        <v>104.61234585154401</v>
      </c>
      <c r="C203">
        <f t="shared" si="9"/>
        <v>5.1305804606393224E-2</v>
      </c>
      <c r="D203" s="2">
        <v>1.34597E-2</v>
      </c>
      <c r="E203" s="3">
        <f t="shared" si="10"/>
        <v>100.71811679728793</v>
      </c>
      <c r="F203">
        <v>5.72200724855065E-3</v>
      </c>
      <c r="G203">
        <f t="shared" si="11"/>
        <v>99.949141136704682</v>
      </c>
    </row>
    <row r="204" spans="1:8">
      <c r="A204" s="1">
        <v>39022</v>
      </c>
      <c r="B204">
        <v>101.073269595909</v>
      </c>
      <c r="C204">
        <f t="shared" si="9"/>
        <v>-3.4415878460003491E-2</v>
      </c>
      <c r="D204" s="2">
        <v>9.7366699999999994E-3</v>
      </c>
      <c r="E204" s="3">
        <f t="shared" si="10"/>
        <v>105.63092174102636</v>
      </c>
      <c r="F204">
        <v>8.1142550334334304E-3</v>
      </c>
      <c r="G204">
        <f t="shared" si="11"/>
        <v>105.46119710542918</v>
      </c>
    </row>
    <row r="205" spans="1:8">
      <c r="A205" s="1">
        <v>39052</v>
      </c>
      <c r="B205">
        <v>101.431095066398</v>
      </c>
      <c r="C205">
        <f t="shared" si="9"/>
        <v>3.5340062274551443E-3</v>
      </c>
      <c r="D205" s="2">
        <v>8.3234999999999993E-3</v>
      </c>
      <c r="E205" s="3">
        <f t="shared" si="10"/>
        <v>101.91455295539055</v>
      </c>
      <c r="F205">
        <v>1.76836047321558E-2</v>
      </c>
      <c r="G205">
        <f t="shared" si="11"/>
        <v>102.86060934442968</v>
      </c>
    </row>
    <row r="206" spans="1:8">
      <c r="A206" s="1">
        <v>39083</v>
      </c>
      <c r="B206">
        <v>97.191080606318394</v>
      </c>
      <c r="C206">
        <f t="shared" si="9"/>
        <v>-4.2700757660438349E-2</v>
      </c>
      <c r="D206" s="2">
        <v>-1.7706099999999999E-2</v>
      </c>
      <c r="E206" s="3">
        <f t="shared" si="10"/>
        <v>99.635145954042855</v>
      </c>
      <c r="F206">
        <v>2.0020436495542498E-2</v>
      </c>
      <c r="G206">
        <f t="shared" si="11"/>
        <v>103.46178986384815</v>
      </c>
    </row>
    <row r="207" spans="1:8">
      <c r="A207" s="1">
        <v>39114</v>
      </c>
      <c r="B207">
        <v>99.898697428897506</v>
      </c>
      <c r="C207">
        <f t="shared" si="9"/>
        <v>2.747770287332596E-2</v>
      </c>
      <c r="D207" s="2">
        <v>-2.4886700000000001E-2</v>
      </c>
      <c r="E207" s="3">
        <f t="shared" si="10"/>
        <v>94.772315340593124</v>
      </c>
      <c r="F207">
        <v>1.49475142825394E-3</v>
      </c>
      <c r="G207">
        <f t="shared" si="11"/>
        <v>97.336357112868228</v>
      </c>
    </row>
    <row r="208" spans="1:8">
      <c r="A208" s="1">
        <v>39142</v>
      </c>
      <c r="B208">
        <v>104.342676008</v>
      </c>
      <c r="C208">
        <f t="shared" si="9"/>
        <v>4.3523797445831569E-2</v>
      </c>
      <c r="D208" s="2">
        <v>2.3910959999999998E-2</v>
      </c>
      <c r="E208" s="3">
        <f t="shared" si="10"/>
        <v>102.28737118717197</v>
      </c>
      <c r="F208">
        <v>-4.01970706880092E-2</v>
      </c>
      <c r="G208">
        <f t="shared" si="11"/>
        <v>95.883062426708065</v>
      </c>
    </row>
    <row r="209" spans="1:8">
      <c r="A209" s="1">
        <v>39173</v>
      </c>
      <c r="B209">
        <v>100.544512701955</v>
      </c>
      <c r="C209">
        <f t="shared" si="9"/>
        <v>-3.7079902365935169E-2</v>
      </c>
      <c r="D209" s="2">
        <v>1.9322899999999999E-3</v>
      </c>
      <c r="E209" s="3">
        <f t="shared" si="10"/>
        <v>104.5442963174235</v>
      </c>
      <c r="F209">
        <v>-2.8095883317291702E-3</v>
      </c>
      <c r="G209">
        <f t="shared" si="11"/>
        <v>104.04951604298653</v>
      </c>
    </row>
    <row r="210" spans="1:8">
      <c r="A210" s="1">
        <v>39203</v>
      </c>
      <c r="B210">
        <v>103.415238107517</v>
      </c>
      <c r="C210">
        <f t="shared" si="9"/>
        <v>2.8151779795630105E-2</v>
      </c>
      <c r="D210" s="2">
        <v>3.2247E-3</v>
      </c>
      <c r="E210" s="3">
        <f t="shared" si="10"/>
        <v>100.868738592065</v>
      </c>
      <c r="F210">
        <v>4.6944455243647099E-3</v>
      </c>
      <c r="G210">
        <f t="shared" si="11"/>
        <v>101.01651343960812</v>
      </c>
    </row>
    <row r="211" spans="1:8">
      <c r="A211" s="1">
        <v>39234</v>
      </c>
      <c r="B211">
        <v>100.090249153608</v>
      </c>
      <c r="C211">
        <f t="shared" si="9"/>
        <v>-3.2680051171711355E-2</v>
      </c>
      <c r="D211" s="2">
        <v>3.48921E-3</v>
      </c>
      <c r="E211" s="3">
        <f t="shared" si="10"/>
        <v>103.77607559047412</v>
      </c>
      <c r="F211">
        <v>6.7613464780151801E-3</v>
      </c>
      <c r="G211">
        <f t="shared" si="11"/>
        <v>104.11446436346836</v>
      </c>
    </row>
    <row r="212" spans="1:8">
      <c r="A212" s="1">
        <v>39264</v>
      </c>
      <c r="B212">
        <v>99.480883623064997</v>
      </c>
      <c r="C212">
        <f t="shared" si="9"/>
        <v>-6.1067692085581271E-3</v>
      </c>
      <c r="D212" s="2">
        <v>-1.7147E-3</v>
      </c>
      <c r="E212" s="3">
        <f t="shared" si="10"/>
        <v>99.918624403384314</v>
      </c>
      <c r="F212">
        <v>1.2688033748417999E-3</v>
      </c>
      <c r="G212">
        <f t="shared" si="11"/>
        <v>100.21724399952285</v>
      </c>
    </row>
    <row r="213" spans="1:8">
      <c r="A213" s="1">
        <v>39295</v>
      </c>
      <c r="B213">
        <v>101.905209542951</v>
      </c>
      <c r="C213">
        <f t="shared" si="9"/>
        <v>2.407756167904207E-2</v>
      </c>
      <c r="D213" s="4">
        <v>1.2799999999999999E-5</v>
      </c>
      <c r="E213" s="3">
        <f t="shared" si="10"/>
        <v>99.482156978375372</v>
      </c>
      <c r="F213">
        <v>-1.21967238374054E-3</v>
      </c>
      <c r="G213">
        <f t="shared" si="11"/>
        <v>99.359549536599843</v>
      </c>
    </row>
    <row r="214" spans="1:8">
      <c r="A214" s="1">
        <v>39326</v>
      </c>
      <c r="B214">
        <v>101.26397492210501</v>
      </c>
      <c r="C214">
        <f t="shared" si="9"/>
        <v>-6.3123426097790869E-3</v>
      </c>
      <c r="D214" s="2">
        <v>-2.9131000000000001E-3</v>
      </c>
      <c r="E214" s="3">
        <f t="shared" si="10"/>
        <v>101.60834947703142</v>
      </c>
      <c r="F214">
        <v>-4.6640448272228198E-3</v>
      </c>
      <c r="G214">
        <f t="shared" si="11"/>
        <v>101.42991907751514</v>
      </c>
    </row>
    <row r="215" spans="1:8">
      <c r="A215" s="1">
        <v>39356</v>
      </c>
      <c r="B215">
        <v>101.107343969045</v>
      </c>
      <c r="C215">
        <f t="shared" si="9"/>
        <v>-1.547956352653479E-3</v>
      </c>
      <c r="D215" s="2">
        <v>1.08869E-3</v>
      </c>
      <c r="E215" s="3">
        <f t="shared" si="10"/>
        <v>101.37421999896296</v>
      </c>
      <c r="F215">
        <v>4.4550802558660499E-3</v>
      </c>
      <c r="G215">
        <f t="shared" si="11"/>
        <v>101.71511405741099</v>
      </c>
    </row>
    <row r="216" spans="1:8">
      <c r="A216" s="1">
        <v>39387</v>
      </c>
      <c r="B216">
        <v>100.694689826147</v>
      </c>
      <c r="C216">
        <f t="shared" si="9"/>
        <v>-4.0896983077489679E-3</v>
      </c>
      <c r="D216" s="2">
        <v>-1.8893E-3</v>
      </c>
      <c r="E216" s="3">
        <f t="shared" si="10"/>
        <v>100.91632186408428</v>
      </c>
      <c r="F216">
        <v>-1.5411401400342499E-3</v>
      </c>
      <c r="G216">
        <f t="shared" si="11"/>
        <v>100.95152338280207</v>
      </c>
    </row>
    <row r="217" spans="1:8">
      <c r="A217" s="1">
        <v>39417</v>
      </c>
      <c r="B217">
        <v>105.00075735691399</v>
      </c>
      <c r="C217">
        <f t="shared" si="9"/>
        <v>4.1874497330654847E-2</v>
      </c>
      <c r="D217" s="2">
        <v>1.442855E-2</v>
      </c>
      <c r="E217" s="3">
        <f t="shared" si="10"/>
        <v>102.14756819303805</v>
      </c>
      <c r="F217">
        <v>1.071397960186E-2</v>
      </c>
      <c r="G217">
        <f t="shared" si="11"/>
        <v>101.77353067895996</v>
      </c>
    </row>
    <row r="218" spans="1:8">
      <c r="A218" s="1">
        <v>39448</v>
      </c>
      <c r="B218">
        <v>99.243271879190203</v>
      </c>
      <c r="C218">
        <f t="shared" si="9"/>
        <v>-5.6393435415347248E-2</v>
      </c>
      <c r="D218" s="2">
        <v>-6.18562E-2</v>
      </c>
      <c r="E218" s="3">
        <f t="shared" si="10"/>
        <v>98.50580950969325</v>
      </c>
      <c r="F218">
        <v>-1.4952058903872901E-2</v>
      </c>
      <c r="G218">
        <f t="shared" si="11"/>
        <v>103.43077984796216</v>
      </c>
    </row>
    <row r="219" spans="1:8">
      <c r="A219" s="1">
        <v>39479</v>
      </c>
      <c r="B219">
        <v>97.765429098716893</v>
      </c>
      <c r="C219">
        <f t="shared" si="9"/>
        <v>-1.5003098787369495E-2</v>
      </c>
      <c r="D219" s="2">
        <v>-3.0603600000000002E-2</v>
      </c>
      <c r="E219" s="3">
        <f t="shared" si="10"/>
        <v>96.206070483908221</v>
      </c>
      <c r="F219">
        <v>6.2842904590070204E-3</v>
      </c>
      <c r="G219">
        <f t="shared" si="11"/>
        <v>99.866945425781239</v>
      </c>
    </row>
    <row r="220" spans="1:8">
      <c r="A220" s="1">
        <v>39508</v>
      </c>
      <c r="B220">
        <v>101.562696576855</v>
      </c>
      <c r="C220">
        <f t="shared" si="9"/>
        <v>3.8105279196356534E-2</v>
      </c>
      <c r="D220" s="2">
        <v>6.5263779999999993E-2</v>
      </c>
      <c r="E220" s="3">
        <f t="shared" si="10"/>
        <v>104.14597055502115</v>
      </c>
      <c r="F220">
        <v>-1.8528304994106199E-2</v>
      </c>
      <c r="G220">
        <f t="shared" si="11"/>
        <v>95.954001410496204</v>
      </c>
    </row>
    <row r="221" spans="1:8">
      <c r="A221" s="1">
        <v>39539</v>
      </c>
      <c r="B221">
        <v>100.211993616398</v>
      </c>
      <c r="C221">
        <f t="shared" si="9"/>
        <v>-1.338842979002397E-2</v>
      </c>
      <c r="D221" s="2">
        <v>1.0158999999999999E-3</v>
      </c>
      <c r="E221" s="3">
        <f t="shared" si="10"/>
        <v>101.66587412030744</v>
      </c>
      <c r="F221">
        <v>1.8584096105769201E-3</v>
      </c>
      <c r="G221">
        <f t="shared" si="11"/>
        <v>101.75144166824954</v>
      </c>
    </row>
    <row r="222" spans="1:8">
      <c r="A222" s="1">
        <v>39569</v>
      </c>
      <c r="B222">
        <v>101.89553687749</v>
      </c>
      <c r="C222">
        <f t="shared" si="9"/>
        <v>1.6660261968079126E-2</v>
      </c>
      <c r="D222" s="2">
        <v>8.9526899999999993E-3</v>
      </c>
      <c r="E222" s="3">
        <f t="shared" si="10"/>
        <v>101.1091605295276</v>
      </c>
      <c r="F222">
        <v>8.0660227686166694E-3</v>
      </c>
      <c r="G222">
        <f t="shared" si="11"/>
        <v>101.02030583859634</v>
      </c>
      <c r="H222" s="3"/>
    </row>
    <row r="223" spans="1:8">
      <c r="A223" s="1">
        <v>39600</v>
      </c>
      <c r="B223">
        <v>98.544558436257404</v>
      </c>
      <c r="C223">
        <f t="shared" si="9"/>
        <v>-3.3439324425330597E-2</v>
      </c>
      <c r="D223" s="2">
        <v>-3.0238999999999999E-3</v>
      </c>
      <c r="E223" s="3">
        <f t="shared" si="10"/>
        <v>101.58741496352616</v>
      </c>
      <c r="F223">
        <v>-2.97977868467569E-3</v>
      </c>
      <c r="G223">
        <f t="shared" si="11"/>
        <v>101.59191072863887</v>
      </c>
    </row>
    <row r="224" spans="1:8">
      <c r="A224" s="1">
        <v>39630</v>
      </c>
      <c r="B224">
        <v>102.306360955396</v>
      </c>
      <c r="C224">
        <f t="shared" si="9"/>
        <v>3.7463034650791371E-2</v>
      </c>
      <c r="D224" s="2">
        <v>-1.5421600000000001E-2</v>
      </c>
      <c r="E224" s="3">
        <f t="shared" si="10"/>
        <v>97.024843673876816</v>
      </c>
      <c r="F224">
        <v>1.5352720220107501E-4</v>
      </c>
      <c r="G224">
        <f t="shared" si="11"/>
        <v>98.559687706606269</v>
      </c>
    </row>
    <row r="225" spans="1:8">
      <c r="A225" s="1">
        <v>39661</v>
      </c>
      <c r="B225">
        <v>101.366922119525</v>
      </c>
      <c r="C225">
        <f t="shared" si="9"/>
        <v>-9.2250243522338238E-3</v>
      </c>
      <c r="D225" s="2">
        <v>1.490286E-2</v>
      </c>
      <c r="E225" s="3">
        <f t="shared" si="10"/>
        <v>103.83101832982373</v>
      </c>
      <c r="F225">
        <v>-2.1400859113782601E-3</v>
      </c>
      <c r="G225">
        <f t="shared" si="11"/>
        <v>102.08741655367098</v>
      </c>
    </row>
    <row r="226" spans="1:8">
      <c r="A226" s="1">
        <v>39692</v>
      </c>
      <c r="B226">
        <v>95.401717869728699</v>
      </c>
      <c r="C226">
        <f t="shared" si="9"/>
        <v>-6.0650240787088805E-2</v>
      </c>
      <c r="D226" s="2">
        <v>-4.7406999999999996E-3</v>
      </c>
      <c r="E226" s="3">
        <f t="shared" si="10"/>
        <v>100.88637195183297</v>
      </c>
      <c r="F226">
        <v>-3.2728053629398298E-3</v>
      </c>
      <c r="G226">
        <f t="shared" si="11"/>
        <v>101.03516791318752</v>
      </c>
    </row>
    <row r="227" spans="1:8">
      <c r="A227" s="1">
        <v>39722</v>
      </c>
      <c r="B227">
        <v>102.097394334679</v>
      </c>
      <c r="C227">
        <f t="shared" si="9"/>
        <v>6.7830618814498145E-2</v>
      </c>
      <c r="D227" s="2">
        <v>5.2943879999999999E-2</v>
      </c>
      <c r="E227" s="3">
        <f t="shared" si="10"/>
        <v>100.45265497241748</v>
      </c>
      <c r="F227">
        <v>1.6034876927733401E-2</v>
      </c>
      <c r="G227">
        <f t="shared" si="11"/>
        <v>96.931472674464146</v>
      </c>
    </row>
    <row r="228" spans="1:8">
      <c r="A228" s="1">
        <v>39753</v>
      </c>
      <c r="B228">
        <v>102.828437358166</v>
      </c>
      <c r="C228">
        <f t="shared" si="9"/>
        <v>7.1347386374869259E-3</v>
      </c>
      <c r="D228" s="2">
        <v>-5.8679999999999995E-4</v>
      </c>
      <c r="E228" s="3">
        <f t="shared" si="10"/>
        <v>102.03748358368341</v>
      </c>
      <c r="F228">
        <v>4.3135215528309302E-3</v>
      </c>
      <c r="G228">
        <f t="shared" si="11"/>
        <v>102.53779364562951</v>
      </c>
    </row>
    <row r="229" spans="1:8">
      <c r="A229" s="1">
        <v>39783</v>
      </c>
      <c r="B229">
        <v>100.841349827488</v>
      </c>
      <c r="C229">
        <f t="shared" si="9"/>
        <v>-1.9513454700313737E-2</v>
      </c>
      <c r="D229" s="2">
        <v>-3.0227500000000001E-2</v>
      </c>
      <c r="E229" s="3">
        <f t="shared" si="10"/>
        <v>99.720190767922034</v>
      </c>
      <c r="F229">
        <v>1.78119004704058E-3</v>
      </c>
      <c r="G229">
        <f t="shared" si="11"/>
        <v>103.0115943473411</v>
      </c>
    </row>
    <row r="230" spans="1:8">
      <c r="A230" s="1">
        <v>39814</v>
      </c>
      <c r="B230">
        <v>99.8002484051419</v>
      </c>
      <c r="C230">
        <f t="shared" si="9"/>
        <v>-1.0377815720206129E-2</v>
      </c>
      <c r="D230" s="2">
        <v>-7.8995499999999996E-2</v>
      </c>
      <c r="E230" s="3">
        <f t="shared" si="10"/>
        <v>92.87533697719067</v>
      </c>
      <c r="F230">
        <v>-2.4053256958722999E-2</v>
      </c>
      <c r="G230">
        <f t="shared" si="11"/>
        <v>98.415786928022953</v>
      </c>
    </row>
    <row r="231" spans="1:8">
      <c r="A231" s="1">
        <v>39845</v>
      </c>
      <c r="B231">
        <v>100.915717993844</v>
      </c>
      <c r="C231">
        <f t="shared" si="9"/>
        <v>1.1115020820648525E-2</v>
      </c>
      <c r="D231" s="2">
        <v>0.16284254000000001</v>
      </c>
      <c r="E231" s="3">
        <f t="shared" si="10"/>
        <v>116.05197434806615</v>
      </c>
      <c r="F231">
        <v>-1.28104295581579E-2</v>
      </c>
      <c r="G231">
        <f t="shared" si="11"/>
        <v>98.521764353061172</v>
      </c>
      <c r="H231" s="3"/>
    </row>
    <row r="232" spans="1:8">
      <c r="A232" s="1">
        <v>39873</v>
      </c>
      <c r="B232">
        <v>99.931123814490704</v>
      </c>
      <c r="C232">
        <f t="shared" si="9"/>
        <v>-9.8045063368665808E-3</v>
      </c>
      <c r="D232" s="2">
        <v>-0.1007339</v>
      </c>
      <c r="E232" s="3">
        <f t="shared" si="10"/>
        <v>90.75008414902392</v>
      </c>
      <c r="F232">
        <v>1.9976837560534401E-2</v>
      </c>
      <c r="G232">
        <f t="shared" si="11"/>
        <v>102.93169489951171</v>
      </c>
      <c r="H232" s="3"/>
    </row>
    <row r="233" spans="1:8">
      <c r="A233" s="1">
        <v>39904</v>
      </c>
      <c r="B233">
        <v>99.355109723857595</v>
      </c>
      <c r="C233">
        <f t="shared" si="9"/>
        <v>-5.7807876087023757E-3</v>
      </c>
      <c r="D233" s="2">
        <v>2.7978999999999999E-3</v>
      </c>
      <c r="E233" s="3">
        <f t="shared" si="10"/>
        <v>100.21072110581127</v>
      </c>
      <c r="F233">
        <v>2.5411299429833798E-3</v>
      </c>
      <c r="G233">
        <f t="shared" si="11"/>
        <v>100.18506178545168</v>
      </c>
    </row>
    <row r="234" spans="1:8">
      <c r="A234" s="1">
        <v>39934</v>
      </c>
      <c r="B234">
        <v>101.353998921726</v>
      </c>
      <c r="C234">
        <f t="shared" si="9"/>
        <v>1.9918929454525447E-2</v>
      </c>
      <c r="D234" s="2">
        <v>-3.1741999999999999E-3</v>
      </c>
      <c r="E234" s="3">
        <f t="shared" si="10"/>
        <v>99.039736734572131</v>
      </c>
      <c r="F234">
        <v>3.1101605854928398E-3</v>
      </c>
      <c r="G234">
        <f t="shared" si="11"/>
        <v>99.664120070088046</v>
      </c>
    </row>
    <row r="235" spans="1:8">
      <c r="A235" s="1">
        <v>39965</v>
      </c>
      <c r="B235">
        <v>98.962962716006302</v>
      </c>
      <c r="C235">
        <f t="shared" si="9"/>
        <v>-2.3873662516641581E-2</v>
      </c>
      <c r="D235" s="2">
        <v>-2.872E-3</v>
      </c>
      <c r="E235" s="3">
        <f t="shared" si="10"/>
        <v>101.0629102368228</v>
      </c>
      <c r="F235">
        <v>-8.8996281847357698E-3</v>
      </c>
      <c r="G235">
        <f t="shared" si="11"/>
        <v>100.45198601628653</v>
      </c>
    </row>
    <row r="236" spans="1:8">
      <c r="A236" s="1">
        <v>39995</v>
      </c>
      <c r="B236">
        <v>103.222774065656</v>
      </c>
      <c r="C236">
        <f t="shared" si="9"/>
        <v>4.2143841475462018E-2</v>
      </c>
      <c r="D236" s="2">
        <v>2.184519E-2</v>
      </c>
      <c r="E236" s="3">
        <f t="shared" si="10"/>
        <v>101.12482743950038</v>
      </c>
      <c r="F236">
        <v>-0.158190667629241</v>
      </c>
      <c r="G236">
        <f t="shared" si="11"/>
        <v>83.307945573393582</v>
      </c>
    </row>
    <row r="237" spans="1:8">
      <c r="A237" s="1">
        <v>40026</v>
      </c>
      <c r="B237">
        <v>103.29756585992899</v>
      </c>
      <c r="C237">
        <f t="shared" si="9"/>
        <v>7.2430442027826558E-4</v>
      </c>
      <c r="D237" s="2">
        <v>2.2318910000000001E-2</v>
      </c>
      <c r="E237" s="3">
        <f t="shared" si="10"/>
        <v>105.5265938699777</v>
      </c>
      <c r="F237">
        <v>0.100099436938762</v>
      </c>
      <c r="G237">
        <f t="shared" si="11"/>
        <v>113.55531562888521</v>
      </c>
    </row>
    <row r="238" spans="1:8">
      <c r="A238" s="1">
        <v>40057</v>
      </c>
      <c r="B238">
        <v>98.931497083003904</v>
      </c>
      <c r="C238">
        <f t="shared" si="9"/>
        <v>-4.3186150081401031E-2</v>
      </c>
      <c r="D238" s="2">
        <v>-2.5060800000000001E-2</v>
      </c>
      <c r="E238" s="3">
        <f t="shared" si="10"/>
        <v>100.70884622142648</v>
      </c>
      <c r="F238">
        <v>7.71945640444755E-2</v>
      </c>
      <c r="G238">
        <f t="shared" si="11"/>
        <v>111.27157642334171</v>
      </c>
    </row>
    <row r="239" spans="1:8">
      <c r="A239" s="1">
        <v>40087</v>
      </c>
      <c r="B239">
        <v>100.30710624958699</v>
      </c>
      <c r="C239">
        <f t="shared" si="9"/>
        <v>1.380888043308115E-2</v>
      </c>
      <c r="D239" s="2">
        <v>-1.6474800000000001E-2</v>
      </c>
      <c r="E239" s="3">
        <f t="shared" si="10"/>
        <v>97.301620454860839</v>
      </c>
      <c r="F239">
        <v>-2.22930312156677E-2</v>
      </c>
      <c r="G239">
        <f t="shared" si="11"/>
        <v>96.726014130319754</v>
      </c>
    </row>
    <row r="240" spans="1:8">
      <c r="A240" s="1">
        <v>40118</v>
      </c>
      <c r="B240">
        <v>98.925668499235002</v>
      </c>
      <c r="C240">
        <f t="shared" si="9"/>
        <v>-1.386779751858036E-2</v>
      </c>
      <c r="D240" s="2">
        <v>4.7384300000000001E-3</v>
      </c>
      <c r="E240" s="3">
        <f t="shared" si="10"/>
        <v>100.78240445105322</v>
      </c>
      <c r="F240">
        <v>-3.7158597260713501E-2</v>
      </c>
      <c r="G240">
        <f t="shared" si="11"/>
        <v>96.579834886070998</v>
      </c>
    </row>
    <row r="241" spans="1:7">
      <c r="A241" s="1">
        <v>40148</v>
      </c>
      <c r="B241">
        <v>99.250280553694097</v>
      </c>
      <c r="C241">
        <f t="shared" si="9"/>
        <v>3.2760014151742567E-3</v>
      </c>
      <c r="D241" s="2">
        <v>-1.13426E-2</v>
      </c>
      <c r="E241" s="3">
        <f t="shared" si="10"/>
        <v>97.803594211715577</v>
      </c>
      <c r="F241">
        <v>3.63726839423179E-2</v>
      </c>
      <c r="G241">
        <f t="shared" si="11"/>
        <v>102.52386057334019</v>
      </c>
    </row>
    <row r="242" spans="1:7">
      <c r="A242" s="1">
        <v>40179</v>
      </c>
      <c r="B242">
        <v>98.374163066098703</v>
      </c>
      <c r="C242">
        <f t="shared" si="9"/>
        <v>-8.8665471867059864E-3</v>
      </c>
      <c r="D242" s="4">
        <v>-8.2600000000000002E-5</v>
      </c>
      <c r="E242" s="3">
        <f t="shared" si="10"/>
        <v>99.242082480520367</v>
      </c>
      <c r="F242" s="3">
        <v>7.5265204941388206E-5</v>
      </c>
      <c r="G242">
        <f t="shared" si="11"/>
        <v>99.257750646400467</v>
      </c>
    </row>
    <row r="243" spans="1:7">
      <c r="A243" s="1">
        <v>40210</v>
      </c>
      <c r="B243">
        <v>99.434725104804301</v>
      </c>
      <c r="C243">
        <f t="shared" si="9"/>
        <v>1.0723200671784561E-2</v>
      </c>
      <c r="D243" s="2">
        <v>1.225E-4</v>
      </c>
      <c r="E243" s="3">
        <f t="shared" si="10"/>
        <v>98.386213901074299</v>
      </c>
      <c r="F243" s="3">
        <v>2.9035858460701999E-5</v>
      </c>
      <c r="G243">
        <f t="shared" si="11"/>
        <v>98.377019444373687</v>
      </c>
    </row>
    <row r="244" spans="1:7">
      <c r="A244" s="1">
        <v>40238</v>
      </c>
      <c r="B244">
        <v>100.70831704299999</v>
      </c>
      <c r="C244">
        <f t="shared" si="9"/>
        <v>1.2726988812118201E-2</v>
      </c>
      <c r="D244" s="4">
        <v>7.4499999999999995E-5</v>
      </c>
      <c r="E244" s="3">
        <f t="shared" si="10"/>
        <v>99.442132991824607</v>
      </c>
      <c r="F244" s="3">
        <v>1.01039495348231E-5</v>
      </c>
      <c r="G244">
        <f t="shared" si="11"/>
        <v>99.435729788248764</v>
      </c>
    </row>
    <row r="245" spans="1:7">
      <c r="A245" s="1">
        <v>40269</v>
      </c>
      <c r="B245">
        <v>102.41043354029701</v>
      </c>
      <c r="C245">
        <f t="shared" si="9"/>
        <v>1.6760208858959125E-2</v>
      </c>
      <c r="D245" s="2">
        <v>-1.5988599999999999E-2</v>
      </c>
      <c r="E245" s="3">
        <f t="shared" si="10"/>
        <v>99.098132045126277</v>
      </c>
      <c r="F245">
        <v>-9.2403549933805997E-4</v>
      </c>
      <c r="G245">
        <f t="shared" si="11"/>
        <v>100.61525898297367</v>
      </c>
    </row>
    <row r="246" spans="1:7">
      <c r="A246" s="1">
        <v>40299</v>
      </c>
      <c r="B246">
        <v>97.960970974497798</v>
      </c>
      <c r="C246">
        <f t="shared" si="9"/>
        <v>-4.4419453473356185E-2</v>
      </c>
      <c r="D246" s="2">
        <v>1.8341449999999999E-2</v>
      </c>
      <c r="E246" s="3">
        <f t="shared" si="10"/>
        <v>104.28878938655468</v>
      </c>
      <c r="F246">
        <v>1.12277222797274E-2</v>
      </c>
      <c r="G246">
        <f t="shared" si="11"/>
        <v>103.56026944663394</v>
      </c>
    </row>
    <row r="247" spans="1:7">
      <c r="A247" s="1">
        <v>40330</v>
      </c>
      <c r="B247">
        <v>102.726414940748</v>
      </c>
      <c r="C247">
        <f t="shared" si="9"/>
        <v>4.7500144755264984E-2</v>
      </c>
      <c r="D247" s="2">
        <v>1.28752E-2</v>
      </c>
      <c r="E247" s="3">
        <f t="shared" si="10"/>
        <v>99.222238067988656</v>
      </c>
      <c r="F247">
        <v>4.9243327230215003E-3</v>
      </c>
      <c r="G247">
        <f t="shared" si="11"/>
        <v>98.443363389446475</v>
      </c>
    </row>
    <row r="248" spans="1:7">
      <c r="A248" s="1">
        <v>40360</v>
      </c>
      <c r="B248">
        <v>100.131468277504</v>
      </c>
      <c r="C248">
        <f t="shared" si="9"/>
        <v>-2.5585283414426563E-2</v>
      </c>
      <c r="D248" s="4">
        <v>-6.9200000000000002E-5</v>
      </c>
      <c r="E248" s="3">
        <f t="shared" si="10"/>
        <v>102.7193062728341</v>
      </c>
      <c r="F248" s="3">
        <v>-2.6876003175857399E-5</v>
      </c>
      <c r="G248">
        <f t="shared" si="11"/>
        <v>102.72365406529381</v>
      </c>
    </row>
    <row r="249" spans="1:7">
      <c r="A249" s="1">
        <v>40391</v>
      </c>
      <c r="B249">
        <v>99.417811634170107</v>
      </c>
      <c r="C249">
        <f t="shared" si="9"/>
        <v>-7.152716224118727E-3</v>
      </c>
      <c r="D249" s="2">
        <v>1.9199000000000001E-4</v>
      </c>
      <c r="E249" s="3">
        <f t="shared" si="10"/>
        <v>100.15069251809859</v>
      </c>
      <c r="F249">
        <v>-1.2207415420561999E-4</v>
      </c>
      <c r="G249">
        <f t="shared" si="11"/>
        <v>100.11924481320466</v>
      </c>
    </row>
    <row r="250" spans="1:7">
      <c r="A250" s="1">
        <v>40422</v>
      </c>
      <c r="B250">
        <v>103.694931683495</v>
      </c>
      <c r="C250">
        <f t="shared" si="9"/>
        <v>4.2121950143233278E-2</v>
      </c>
      <c r="D250" s="2">
        <v>3.6005E-4</v>
      </c>
      <c r="E250" s="3">
        <f t="shared" si="10"/>
        <v>99.453607017248984</v>
      </c>
      <c r="F250">
        <v>6.3182000303640897E-4</v>
      </c>
      <c r="G250">
        <f t="shared" si="11"/>
        <v>99.480625796218675</v>
      </c>
    </row>
    <row r="251" spans="1:7">
      <c r="A251" s="1">
        <v>40452</v>
      </c>
      <c r="B251">
        <v>103.252100026677</v>
      </c>
      <c r="C251">
        <f t="shared" si="9"/>
        <v>-4.2796683678032466E-3</v>
      </c>
      <c r="D251" s="2">
        <v>-4.8948100000000001E-2</v>
      </c>
      <c r="E251" s="3">
        <f t="shared" si="10"/>
        <v>98.619261797958117</v>
      </c>
      <c r="F251">
        <v>-1.10220850910991E-3</v>
      </c>
      <c r="G251">
        <f t="shared" si="11"/>
        <v>103.58063824744188</v>
      </c>
    </row>
    <row r="252" spans="1:7">
      <c r="A252" s="1">
        <v>40483</v>
      </c>
      <c r="B252">
        <v>99.675061140333796</v>
      </c>
      <c r="C252">
        <f t="shared" si="9"/>
        <v>-3.5258064211618034E-2</v>
      </c>
      <c r="D252" s="2">
        <v>4.7340849999999997E-2</v>
      </c>
      <c r="E252" s="3">
        <f t="shared" si="10"/>
        <v>108.14014220622491</v>
      </c>
      <c r="F252">
        <v>1.43426586873829E-3</v>
      </c>
      <c r="G252">
        <f t="shared" si="11"/>
        <v>103.40019098962081</v>
      </c>
    </row>
    <row r="253" spans="1:7">
      <c r="A253" s="1">
        <v>40513</v>
      </c>
      <c r="B253">
        <v>100.667324128036</v>
      </c>
      <c r="C253">
        <f t="shared" si="9"/>
        <v>9.905753094529679E-3</v>
      </c>
      <c r="D253" s="2">
        <v>2.7617200000000001E-3</v>
      </c>
      <c r="E253" s="3">
        <f t="shared" si="10"/>
        <v>99.950335750186284</v>
      </c>
      <c r="F253">
        <v>8.2236388698220199E-4</v>
      </c>
      <c r="G253">
        <f t="shared" si="11"/>
        <v>99.757030311048354</v>
      </c>
    </row>
    <row r="254" spans="1:7">
      <c r="A254" s="1">
        <v>40544</v>
      </c>
      <c r="B254">
        <v>100.26198710263699</v>
      </c>
      <c r="C254">
        <f t="shared" si="9"/>
        <v>-4.0346286240025009E-3</v>
      </c>
      <c r="D254" s="2">
        <v>3.9748800000000001E-3</v>
      </c>
      <c r="E254" s="3">
        <f t="shared" si="10"/>
        <v>101.06746466136605</v>
      </c>
      <c r="F254">
        <v>1.9470610423013501E-3</v>
      </c>
      <c r="G254">
        <f t="shared" si="11"/>
        <v>100.86332955307842</v>
      </c>
    </row>
    <row r="255" spans="1:7">
      <c r="A255" s="1">
        <v>40575</v>
      </c>
      <c r="B255">
        <v>102.323814755404</v>
      </c>
      <c r="C255">
        <f t="shared" si="9"/>
        <v>2.0355808038744705E-2</v>
      </c>
      <c r="D255" s="2">
        <v>-4.7029999999999999E-4</v>
      </c>
      <c r="E255" s="3">
        <f t="shared" si="10"/>
        <v>100.21483389010262</v>
      </c>
      <c r="F255">
        <v>1.8324662232771501E-3</v>
      </c>
      <c r="G255">
        <f t="shared" si="11"/>
        <v>100.44571380748123</v>
      </c>
    </row>
    <row r="256" spans="1:7">
      <c r="A256" s="1">
        <v>40603</v>
      </c>
      <c r="B256">
        <v>102.164566055611</v>
      </c>
      <c r="C256">
        <f t="shared" si="9"/>
        <v>-1.5575333068307273E-3</v>
      </c>
      <c r="D256" s="2">
        <v>2.9547999999999998E-4</v>
      </c>
      <c r="E256" s="3">
        <f t="shared" si="10"/>
        <v>102.35404939618793</v>
      </c>
      <c r="F256" s="3">
        <v>2.0567535102600201E-5</v>
      </c>
      <c r="G256">
        <f t="shared" si="11"/>
        <v>102.32591930405582</v>
      </c>
    </row>
    <row r="257" spans="1:8">
      <c r="A257" s="1">
        <v>40634</v>
      </c>
      <c r="B257">
        <v>99.440575057521698</v>
      </c>
      <c r="C257">
        <f t="shared" si="9"/>
        <v>-2.7024675721023073E-2</v>
      </c>
      <c r="D257" s="2">
        <v>-8.4377999999999995E-2</v>
      </c>
      <c r="E257" s="3">
        <f t="shared" si="10"/>
        <v>93.544124300970665</v>
      </c>
      <c r="F257">
        <v>-7.4298600666224896E-3</v>
      </c>
      <c r="G257">
        <f t="shared" si="11"/>
        <v>101.4054976260506</v>
      </c>
    </row>
    <row r="258" spans="1:8">
      <c r="A258" s="1">
        <v>40664</v>
      </c>
      <c r="B258">
        <v>101.190777762929</v>
      </c>
      <c r="C258">
        <f t="shared" si="9"/>
        <v>1.7447393730543048E-2</v>
      </c>
      <c r="D258" s="2">
        <v>0.13265383</v>
      </c>
      <c r="E258" s="3">
        <f t="shared" si="10"/>
        <v>112.63174819630441</v>
      </c>
      <c r="F258">
        <v>-1.88369548413902E-3</v>
      </c>
      <c r="G258">
        <f t="shared" si="11"/>
        <v>99.253259295345657</v>
      </c>
    </row>
    <row r="259" spans="1:8">
      <c r="A259" s="1">
        <v>40695</v>
      </c>
      <c r="B259">
        <v>101.53262167689699</v>
      </c>
      <c r="C259">
        <f t="shared" si="9"/>
        <v>3.372518800693669E-3</v>
      </c>
      <c r="D259" s="2">
        <v>-5.6799000000000002E-2</v>
      </c>
      <c r="E259" s="3">
        <f t="shared" si="10"/>
        <v>95.443242776772394</v>
      </c>
      <c r="F259">
        <v>7.9041242133825996E-4</v>
      </c>
      <c r="G259">
        <f t="shared" si="11"/>
        <v>101.2707602105977</v>
      </c>
    </row>
    <row r="260" spans="1:8">
      <c r="A260" s="1">
        <v>40725</v>
      </c>
      <c r="B260">
        <v>101.88369662129701</v>
      </c>
      <c r="C260">
        <f t="shared" ref="C260:C323" si="12">LN(B260)-LN(B259)</f>
        <v>3.4517908486515481E-3</v>
      </c>
      <c r="D260" s="2">
        <v>3.6688999999999998E-4</v>
      </c>
      <c r="E260" s="3">
        <f t="shared" si="10"/>
        <v>101.56987298046403</v>
      </c>
      <c r="F260">
        <v>1.6529097920283599E-3</v>
      </c>
      <c r="G260">
        <f t="shared" si="11"/>
        <v>101.70044594147704</v>
      </c>
    </row>
    <row r="261" spans="1:8">
      <c r="A261" s="1">
        <v>40756</v>
      </c>
      <c r="B261">
        <v>100.902663711217</v>
      </c>
      <c r="C261">
        <f t="shared" si="12"/>
        <v>-9.6756069977912418E-3</v>
      </c>
      <c r="D261" s="2">
        <v>7.0171000000000003E-4</v>
      </c>
      <c r="E261" s="3">
        <f t="shared" ref="E261:E324" si="13">B260*D261+B260</f>
        <v>101.95518943005314</v>
      </c>
      <c r="F261">
        <v>-4.8519676784053401E-4</v>
      </c>
      <c r="G261">
        <f t="shared" si="11"/>
        <v>101.83426298100071</v>
      </c>
    </row>
    <row r="262" spans="1:8">
      <c r="A262" s="1">
        <v>40787</v>
      </c>
      <c r="B262">
        <v>99.7582061262096</v>
      </c>
      <c r="C262">
        <f t="shared" si="12"/>
        <v>-1.1407007211968967E-2</v>
      </c>
      <c r="D262" s="2">
        <v>1.9016000000000001E-4</v>
      </c>
      <c r="E262" s="3">
        <f t="shared" si="13"/>
        <v>100.92185136174832</v>
      </c>
      <c r="F262" s="3">
        <v>9.1048801550641602E-5</v>
      </c>
      <c r="G262">
        <f t="shared" si="11"/>
        <v>100.91185077782117</v>
      </c>
    </row>
    <row r="263" spans="1:8">
      <c r="A263" s="1">
        <v>40817</v>
      </c>
      <c r="B263">
        <v>99.738490045271504</v>
      </c>
      <c r="C263">
        <f t="shared" si="12"/>
        <v>-1.9765822071882155E-4</v>
      </c>
      <c r="D263" s="4">
        <v>5.52E-5</v>
      </c>
      <c r="E263" s="3">
        <f t="shared" si="13"/>
        <v>99.76371277918777</v>
      </c>
      <c r="F263">
        <v>1.02519546635448E-3</v>
      </c>
      <c r="G263">
        <f t="shared" ref="G263:G326" si="14">B262*F263+B262</f>
        <v>99.86047778686185</v>
      </c>
      <c r="H263" s="3"/>
    </row>
    <row r="264" spans="1:8">
      <c r="A264" s="1">
        <v>40848</v>
      </c>
      <c r="B264">
        <v>103.856830470351</v>
      </c>
      <c r="C264">
        <f t="shared" si="12"/>
        <v>4.0461659527931459E-2</v>
      </c>
      <c r="D264" s="2">
        <v>2.4554400000000001E-3</v>
      </c>
      <c r="E264" s="3">
        <f t="shared" si="13"/>
        <v>99.983391923268272</v>
      </c>
      <c r="F264">
        <v>1.7693400150164899E-3</v>
      </c>
      <c r="G264">
        <f t="shared" si="14"/>
        <v>99.914961346745926</v>
      </c>
    </row>
    <row r="265" spans="1:8">
      <c r="A265" s="1">
        <v>40878</v>
      </c>
      <c r="B265">
        <v>100.08716377380399</v>
      </c>
      <c r="C265">
        <f t="shared" si="12"/>
        <v>-3.6971876552310157E-2</v>
      </c>
      <c r="D265" s="2">
        <v>1.24351E-3</v>
      </c>
      <c r="E265" s="3">
        <f t="shared" si="13"/>
        <v>103.98597747760918</v>
      </c>
      <c r="F265">
        <v>9.5956696895882401E-4</v>
      </c>
      <c r="G265">
        <f t="shared" si="14"/>
        <v>103.95648805437111</v>
      </c>
    </row>
    <row r="266" spans="1:8">
      <c r="A266" s="1">
        <v>40909</v>
      </c>
      <c r="B266">
        <v>101.922921339125</v>
      </c>
      <c r="C266">
        <f t="shared" si="12"/>
        <v>1.8175410403007852E-2</v>
      </c>
      <c r="D266" s="2">
        <v>-4.0017999999999998E-3</v>
      </c>
      <c r="E266" s="3">
        <f t="shared" si="13"/>
        <v>99.686634961813979</v>
      </c>
      <c r="F266">
        <v>-2.0809714624192501E-4</v>
      </c>
      <c r="G266">
        <f t="shared" si="14"/>
        <v>100.06633592064722</v>
      </c>
    </row>
    <row r="267" spans="1:8">
      <c r="A267" s="1">
        <v>40940</v>
      </c>
      <c r="B267">
        <v>98.783071947487699</v>
      </c>
      <c r="C267">
        <f t="shared" si="12"/>
        <v>-3.1290600963417958E-2</v>
      </c>
      <c r="D267" s="2">
        <v>2.0375399999999998E-2</v>
      </c>
      <c r="E267" s="3">
        <f t="shared" si="13"/>
        <v>103.99964163057821</v>
      </c>
      <c r="F267">
        <v>3.1438954174518502E-2</v>
      </c>
      <c r="G267">
        <f t="shared" si="14"/>
        <v>105.1272713924388</v>
      </c>
    </row>
    <row r="268" spans="1:8">
      <c r="A268" s="1">
        <v>40969</v>
      </c>
      <c r="B268">
        <v>99.090091447686902</v>
      </c>
      <c r="C268">
        <f t="shared" si="12"/>
        <v>3.1031974352675462E-3</v>
      </c>
      <c r="D268" s="2">
        <v>-2.9253700000000001E-2</v>
      </c>
      <c r="E268" s="3">
        <f t="shared" si="13"/>
        <v>95.893301595657476</v>
      </c>
      <c r="F268">
        <v>-4.4111028313636703E-2</v>
      </c>
      <c r="G268">
        <f t="shared" si="14"/>
        <v>94.425649063904061</v>
      </c>
    </row>
    <row r="269" spans="1:8">
      <c r="A269" s="1">
        <v>41000</v>
      </c>
      <c r="B269">
        <v>97.954510986582804</v>
      </c>
      <c r="C269">
        <f t="shared" si="12"/>
        <v>-1.1526253643056705E-2</v>
      </c>
      <c r="D269" s="2">
        <v>2.6730999999999999E-3</v>
      </c>
      <c r="E269" s="3">
        <f t="shared" si="13"/>
        <v>99.354969171135707</v>
      </c>
      <c r="F269">
        <v>7.1549005806445997E-3</v>
      </c>
      <c r="G269">
        <f t="shared" si="14"/>
        <v>99.799071200522079</v>
      </c>
    </row>
    <row r="270" spans="1:8">
      <c r="A270" s="1">
        <v>41030</v>
      </c>
      <c r="B270">
        <v>100.896744864608</v>
      </c>
      <c r="C270">
        <f t="shared" si="12"/>
        <v>2.9594468531932705E-2</v>
      </c>
      <c r="D270" s="2">
        <v>3.9075300000000002E-3</v>
      </c>
      <c r="E270" s="3">
        <f t="shared" si="13"/>
        <v>98.337271176898213</v>
      </c>
      <c r="F270">
        <v>-5.0468915142118896E-3</v>
      </c>
      <c r="G270">
        <f t="shared" si="14"/>
        <v>97.460145196305845</v>
      </c>
    </row>
    <row r="271" spans="1:8">
      <c r="A271" s="1">
        <v>41061</v>
      </c>
      <c r="B271">
        <v>102.066129198848</v>
      </c>
      <c r="C271">
        <f t="shared" si="12"/>
        <v>1.1523262856711902E-2</v>
      </c>
      <c r="D271" s="2">
        <v>-2.8473999999999999E-3</v>
      </c>
      <c r="E271" s="3">
        <f t="shared" si="13"/>
        <v>100.60945147328052</v>
      </c>
      <c r="F271">
        <v>1.62522331811487E-3</v>
      </c>
      <c r="G271">
        <f t="shared" si="14"/>
        <v>101.06072460708384</v>
      </c>
    </row>
    <row r="272" spans="1:8">
      <c r="A272" s="1">
        <v>41091</v>
      </c>
      <c r="B272">
        <v>104.640190716167</v>
      </c>
      <c r="C272">
        <f t="shared" si="12"/>
        <v>2.4906781609565165E-2</v>
      </c>
      <c r="D272" s="2">
        <v>5.7627919999999999E-2</v>
      </c>
      <c r="E272" s="3">
        <f t="shared" si="13"/>
        <v>107.94798792702888</v>
      </c>
      <c r="F272">
        <v>2.2350864484906099E-2</v>
      </c>
      <c r="G272">
        <f t="shared" si="14"/>
        <v>104.34739542107037</v>
      </c>
    </row>
    <row r="273" spans="1:8">
      <c r="A273" s="1">
        <v>41122</v>
      </c>
      <c r="B273">
        <v>102.642252217254</v>
      </c>
      <c r="C273">
        <f t="shared" si="12"/>
        <v>-1.9278047353433081E-2</v>
      </c>
      <c r="D273" s="2">
        <v>-3.10368E-2</v>
      </c>
      <c r="E273" s="3">
        <f t="shared" si="13"/>
        <v>101.39249404494747</v>
      </c>
      <c r="F273">
        <v>-1.38766812160611E-2</v>
      </c>
      <c r="G273">
        <f t="shared" si="14"/>
        <v>103.18813214721091</v>
      </c>
    </row>
    <row r="274" spans="1:8">
      <c r="A274" s="1">
        <v>41153</v>
      </c>
      <c r="B274">
        <v>101.609312373542</v>
      </c>
      <c r="C274">
        <f t="shared" si="12"/>
        <v>-1.0114474783117444E-2</v>
      </c>
      <c r="D274" s="2">
        <v>-4.3590000000000002E-4</v>
      </c>
      <c r="E274" s="3">
        <f t="shared" si="13"/>
        <v>102.59751045951249</v>
      </c>
      <c r="F274">
        <v>1.7680967226624399E-2</v>
      </c>
      <c r="G274">
        <f t="shared" si="14"/>
        <v>104.45706651477418</v>
      </c>
    </row>
    <row r="275" spans="1:8">
      <c r="A275" s="1">
        <v>41183</v>
      </c>
      <c r="B275">
        <v>100.69943911334801</v>
      </c>
      <c r="C275">
        <f t="shared" si="12"/>
        <v>-8.9949583323898352E-3</v>
      </c>
      <c r="D275" s="2">
        <v>-9.4797000000000006E-3</v>
      </c>
      <c r="E275" s="3">
        <f t="shared" si="13"/>
        <v>100.64608657503453</v>
      </c>
      <c r="F275">
        <v>-1.1005798587575501E-3</v>
      </c>
      <c r="G275">
        <f t="shared" si="14"/>
        <v>101.49748321088147</v>
      </c>
    </row>
    <row r="276" spans="1:8">
      <c r="A276" s="1">
        <v>41214</v>
      </c>
      <c r="B276">
        <v>99.455637156092706</v>
      </c>
      <c r="C276">
        <f t="shared" si="12"/>
        <v>-1.2428542818901711E-2</v>
      </c>
      <c r="D276" s="2">
        <v>2.8383289999999999E-2</v>
      </c>
      <c r="E276" s="3">
        <f t="shared" si="13"/>
        <v>103.5576204965395</v>
      </c>
      <c r="F276">
        <v>3.28522757627069E-3</v>
      </c>
      <c r="G276">
        <f t="shared" si="14"/>
        <v>101.03025968763816</v>
      </c>
    </row>
    <row r="277" spans="1:8">
      <c r="A277" s="1">
        <v>41244</v>
      </c>
      <c r="B277">
        <v>102.684065694144</v>
      </c>
      <c r="C277">
        <f t="shared" si="12"/>
        <v>3.1945263981000949E-2</v>
      </c>
      <c r="D277" s="2">
        <v>-3.8692699999999997E-2</v>
      </c>
      <c r="E277" s="3">
        <f t="shared" si="13"/>
        <v>95.607430024303156</v>
      </c>
      <c r="F277">
        <v>-2.1973777562379799E-2</v>
      </c>
      <c r="G277">
        <f t="shared" si="14"/>
        <v>97.270221107899971</v>
      </c>
    </row>
    <row r="278" spans="1:8">
      <c r="A278" s="1">
        <v>41275</v>
      </c>
      <c r="B278">
        <v>100.555637257827</v>
      </c>
      <c r="C278">
        <f t="shared" si="12"/>
        <v>-2.0945772121572226E-2</v>
      </c>
      <c r="D278" s="2">
        <v>-1.4702000000000001E-3</v>
      </c>
      <c r="E278" s="3">
        <f t="shared" si="13"/>
        <v>102.53309958076046</v>
      </c>
      <c r="F278">
        <v>-2.7192863635718801E-3</v>
      </c>
      <c r="G278">
        <f t="shared" si="14"/>
        <v>102.40483831454578</v>
      </c>
      <c r="H278" s="3"/>
    </row>
    <row r="279" spans="1:8">
      <c r="A279" s="1">
        <v>41306</v>
      </c>
      <c r="B279">
        <v>100.040531241148</v>
      </c>
      <c r="C279">
        <f t="shared" si="12"/>
        <v>-5.1357625894699055E-3</v>
      </c>
      <c r="D279" s="2">
        <v>1.3769800000000001E-3</v>
      </c>
      <c r="E279" s="3">
        <f t="shared" si="13"/>
        <v>100.69410035921828</v>
      </c>
      <c r="F279">
        <v>7.8290578676387603E-4</v>
      </c>
      <c r="G279">
        <f t="shared" si="14"/>
        <v>100.63436284812788</v>
      </c>
    </row>
    <row r="280" spans="1:8">
      <c r="A280" s="1">
        <v>41334</v>
      </c>
      <c r="B280">
        <v>101.581960640978</v>
      </c>
      <c r="C280">
        <f t="shared" si="12"/>
        <v>1.5290550351063636E-2</v>
      </c>
      <c r="D280" s="2">
        <v>-2.0918999999999998E-3</v>
      </c>
      <c r="E280" s="3">
        <f t="shared" si="13"/>
        <v>99.831256453844645</v>
      </c>
      <c r="F280">
        <v>-2.4872418725863099E-4</v>
      </c>
      <c r="G280">
        <f t="shared" si="14"/>
        <v>100.01564874132212</v>
      </c>
    </row>
    <row r="281" spans="1:8">
      <c r="A281" s="1">
        <v>41365</v>
      </c>
      <c r="B281">
        <v>100.041527926116</v>
      </c>
      <c r="C281">
        <f t="shared" si="12"/>
        <v>-1.5280587589063366E-2</v>
      </c>
      <c r="D281" s="2">
        <v>8.9296999999999998E-4</v>
      </c>
      <c r="E281" s="3">
        <f t="shared" si="13"/>
        <v>101.67267028437158</v>
      </c>
      <c r="F281">
        <v>1.4046458818484E-4</v>
      </c>
      <c r="G281">
        <f t="shared" si="14"/>
        <v>101.59622930924644</v>
      </c>
    </row>
    <row r="282" spans="1:8">
      <c r="A282" s="1">
        <v>41395</v>
      </c>
      <c r="B282">
        <v>99.560961883961198</v>
      </c>
      <c r="C282">
        <f t="shared" si="12"/>
        <v>-4.8152402424133101E-3</v>
      </c>
      <c r="D282" s="2">
        <v>7.4034999999999997E-4</v>
      </c>
      <c r="E282" s="3">
        <f t="shared" si="13"/>
        <v>100.11559367131611</v>
      </c>
      <c r="F282">
        <v>1.3690547784790299E-3</v>
      </c>
      <c r="G282">
        <f t="shared" si="14"/>
        <v>100.1784902579696</v>
      </c>
    </row>
    <row r="283" spans="1:8">
      <c r="A283" s="1">
        <v>41426</v>
      </c>
      <c r="B283">
        <v>103.289594201947</v>
      </c>
      <c r="C283">
        <f t="shared" si="12"/>
        <v>3.6766498483091326E-2</v>
      </c>
      <c r="D283" s="2">
        <v>7.2659000000000005E-4</v>
      </c>
      <c r="E283" s="3">
        <f t="shared" si="13"/>
        <v>99.633301883256465</v>
      </c>
      <c r="F283">
        <v>8.5038930410519199E-4</v>
      </c>
      <c r="G283">
        <f t="shared" si="14"/>
        <v>99.645627461053749</v>
      </c>
    </row>
    <row r="284" spans="1:8">
      <c r="A284" s="1">
        <v>41456</v>
      </c>
      <c r="B284">
        <v>100.08006639055</v>
      </c>
      <c r="C284">
        <f t="shared" si="12"/>
        <v>-3.1566107752126094E-2</v>
      </c>
      <c r="D284" s="2">
        <v>-2.17824E-2</v>
      </c>
      <c r="E284" s="3">
        <f t="shared" si="13"/>
        <v>101.0396989452025</v>
      </c>
      <c r="F284">
        <v>-8.2914633676409704E-3</v>
      </c>
      <c r="G284">
        <f t="shared" si="14"/>
        <v>102.43317231536305</v>
      </c>
    </row>
    <row r="285" spans="1:8">
      <c r="A285" s="1">
        <v>41487</v>
      </c>
      <c r="B285">
        <v>98.417230087489997</v>
      </c>
      <c r="C285">
        <f t="shared" si="12"/>
        <v>-1.6754638288541734E-2</v>
      </c>
      <c r="D285" s="2">
        <v>9.6658400000000002E-3</v>
      </c>
      <c r="E285" s="3">
        <f t="shared" si="13"/>
        <v>101.04742429947044</v>
      </c>
      <c r="F285">
        <v>9.80983860790729E-3</v>
      </c>
      <c r="G285">
        <f t="shared" si="14"/>
        <v>101.06183568970994</v>
      </c>
    </row>
    <row r="286" spans="1:8">
      <c r="A286" s="1">
        <v>41518</v>
      </c>
      <c r="B286">
        <v>100.417760271132</v>
      </c>
      <c r="C286">
        <f t="shared" si="12"/>
        <v>2.0123195499632374E-2</v>
      </c>
      <c r="D286" s="2">
        <v>-1.1006E-3</v>
      </c>
      <c r="E286" s="3">
        <f t="shared" si="13"/>
        <v>98.308912084055706</v>
      </c>
      <c r="F286">
        <v>-1.4735517092049099E-2</v>
      </c>
      <c r="G286">
        <f t="shared" si="14"/>
        <v>96.967001311383655</v>
      </c>
    </row>
    <row r="287" spans="1:8">
      <c r="A287" s="1">
        <v>41548</v>
      </c>
      <c r="B287">
        <v>97.249770156403599</v>
      </c>
      <c r="C287">
        <f t="shared" si="12"/>
        <v>-3.2056467678860834E-2</v>
      </c>
      <c r="D287" s="2">
        <v>-7.4460999999999998E-3</v>
      </c>
      <c r="E287" s="3">
        <f t="shared" si="13"/>
        <v>99.670039586377115</v>
      </c>
      <c r="F287">
        <v>6.5361656248569405E-2</v>
      </c>
      <c r="G287">
        <f t="shared" si="14"/>
        <v>106.98123139922498</v>
      </c>
    </row>
    <row r="288" spans="1:8">
      <c r="A288" s="1">
        <v>41579</v>
      </c>
      <c r="B288">
        <v>104.63601682856699</v>
      </c>
      <c r="C288">
        <f t="shared" si="12"/>
        <v>7.3205202442681028E-2</v>
      </c>
      <c r="D288" s="2">
        <v>1.319002E-2</v>
      </c>
      <c r="E288" s="3">
        <f t="shared" si="13"/>
        <v>98.53249656976196</v>
      </c>
      <c r="F288">
        <v>-3.9129026234149898E-2</v>
      </c>
      <c r="G288">
        <f t="shared" si="14"/>
        <v>93.44448134868864</v>
      </c>
    </row>
    <row r="289" spans="1:8">
      <c r="A289" s="1">
        <v>41609</v>
      </c>
      <c r="B289">
        <v>100.36943502772</v>
      </c>
      <c r="C289">
        <f t="shared" si="12"/>
        <v>-4.1630092594165724E-2</v>
      </c>
      <c r="D289" s="2">
        <v>5.36836E-3</v>
      </c>
      <c r="E289" s="3">
        <f t="shared" si="13"/>
        <v>105.1977406358688</v>
      </c>
      <c r="F289">
        <v>-1.51203041896224E-2</v>
      </c>
      <c r="G289">
        <f t="shared" si="14"/>
        <v>103.05388842492862</v>
      </c>
      <c r="H289" s="3"/>
    </row>
    <row r="290" spans="1:8">
      <c r="A290" s="1">
        <v>41640</v>
      </c>
      <c r="B290">
        <v>99.480602967635093</v>
      </c>
      <c r="C290">
        <f t="shared" si="12"/>
        <v>-8.8950488025831831E-3</v>
      </c>
      <c r="D290" s="2">
        <v>9.9053800000000001E-3</v>
      </c>
      <c r="E290" s="3">
        <f t="shared" si="13"/>
        <v>101.36363242205488</v>
      </c>
      <c r="F290" s="3">
        <v>2.6756092665891599E-6</v>
      </c>
      <c r="G290">
        <f t="shared" si="14"/>
        <v>100.36970357711044</v>
      </c>
    </row>
    <row r="291" spans="1:8">
      <c r="A291" s="1">
        <v>41671</v>
      </c>
      <c r="B291">
        <v>101.233002599513</v>
      </c>
      <c r="C291">
        <f t="shared" si="12"/>
        <v>1.7462136222206048E-2</v>
      </c>
      <c r="D291" s="2">
        <v>-1.23363E-2</v>
      </c>
      <c r="E291" s="3">
        <f t="shared" si="13"/>
        <v>98.253380405245451</v>
      </c>
      <c r="F291">
        <v>1.8986110808327701E-3</v>
      </c>
      <c r="G291">
        <f t="shared" si="14"/>
        <v>99.669477942757368</v>
      </c>
    </row>
    <row r="292" spans="1:8">
      <c r="A292" s="1">
        <v>41699</v>
      </c>
      <c r="B292">
        <v>102.09302409028901</v>
      </c>
      <c r="C292">
        <f t="shared" si="12"/>
        <v>8.4595822157238487E-3</v>
      </c>
      <c r="D292" s="2">
        <v>4.2535200000000002E-3</v>
      </c>
      <c r="E292" s="3">
        <f t="shared" si="13"/>
        <v>101.66359920073008</v>
      </c>
      <c r="F292" s="3">
        <v>-7.8637451224494698E-5</v>
      </c>
      <c r="G292">
        <f t="shared" si="14"/>
        <v>101.22504189420877</v>
      </c>
    </row>
    <row r="293" spans="1:8">
      <c r="A293" s="1">
        <v>41730</v>
      </c>
      <c r="B293">
        <v>100.50708618742701</v>
      </c>
      <c r="C293">
        <f t="shared" si="12"/>
        <v>-1.5656164208230905E-2</v>
      </c>
      <c r="D293" s="2">
        <v>3.4401900000000001E-3</v>
      </c>
      <c r="E293" s="3">
        <f t="shared" si="13"/>
        <v>102.44424349083418</v>
      </c>
      <c r="F293">
        <v>-8.4640523418784107E-3</v>
      </c>
      <c r="G293">
        <f t="shared" si="14"/>
        <v>101.22890339064814</v>
      </c>
    </row>
    <row r="294" spans="1:8">
      <c r="A294" s="1">
        <v>41760</v>
      </c>
      <c r="B294">
        <v>98.808668017962006</v>
      </c>
      <c r="C294">
        <f t="shared" si="12"/>
        <v>-1.7042900460263688E-2</v>
      </c>
      <c r="D294" s="2">
        <v>-2.131E-4</v>
      </c>
      <c r="E294" s="3">
        <f t="shared" si="13"/>
        <v>100.48566812736047</v>
      </c>
      <c r="F294">
        <v>-9.5617733895778604E-3</v>
      </c>
      <c r="G294">
        <f t="shared" si="14"/>
        <v>99.546060205256055</v>
      </c>
    </row>
    <row r="295" spans="1:8">
      <c r="A295" s="1">
        <v>41791</v>
      </c>
      <c r="B295">
        <v>101.311807065257</v>
      </c>
      <c r="C295">
        <f t="shared" si="12"/>
        <v>2.5017626013702277E-2</v>
      </c>
      <c r="D295" s="2">
        <v>-1.04493E-2</v>
      </c>
      <c r="E295" s="3">
        <f t="shared" si="13"/>
        <v>97.776186603241911</v>
      </c>
      <c r="F295">
        <v>1.0803570970892899E-2</v>
      </c>
      <c r="G295">
        <f t="shared" si="14"/>
        <v>99.876154475433452</v>
      </c>
    </row>
    <row r="296" spans="1:8">
      <c r="A296" s="1">
        <v>41821</v>
      </c>
      <c r="B296">
        <v>105.993093634383</v>
      </c>
      <c r="C296">
        <f t="shared" si="12"/>
        <v>4.5170977702278847E-2</v>
      </c>
      <c r="D296" s="2">
        <v>1.308702E-2</v>
      </c>
      <c r="E296" s="3">
        <f t="shared" si="13"/>
        <v>102.63767671055616</v>
      </c>
      <c r="F296">
        <v>0.10057047754526099</v>
      </c>
      <c r="G296">
        <f t="shared" si="14"/>
        <v>111.50078388278324</v>
      </c>
    </row>
    <row r="297" spans="1:8">
      <c r="A297" s="1">
        <v>41852</v>
      </c>
      <c r="B297">
        <v>98.8699180324342</v>
      </c>
      <c r="C297">
        <f t="shared" si="12"/>
        <v>-6.9568910731970135E-2</v>
      </c>
      <c r="D297" s="2">
        <v>-8.9961999999999993E-3</v>
      </c>
      <c r="E297" s="3">
        <f t="shared" si="13"/>
        <v>105.03955856542936</v>
      </c>
      <c r="F297">
        <v>-1.4173299074172901E-2</v>
      </c>
      <c r="G297">
        <f t="shared" si="14"/>
        <v>104.49082181850608</v>
      </c>
    </row>
    <row r="298" spans="1:8">
      <c r="A298" s="1">
        <v>41883</v>
      </c>
      <c r="B298">
        <v>102.170962027451</v>
      </c>
      <c r="C298">
        <f t="shared" si="12"/>
        <v>3.2842481642587629E-2</v>
      </c>
      <c r="D298" s="2">
        <v>1.6995429999999999E-2</v>
      </c>
      <c r="E298" s="3">
        <f t="shared" si="13"/>
        <v>100.55025480346018</v>
      </c>
      <c r="F298">
        <v>-6.5310932695865603E-2</v>
      </c>
      <c r="G298">
        <f t="shared" si="14"/>
        <v>92.412631470172144</v>
      </c>
    </row>
    <row r="299" spans="1:8">
      <c r="A299" s="1">
        <v>41913</v>
      </c>
      <c r="B299">
        <v>99.624279955318201</v>
      </c>
      <c r="C299">
        <f t="shared" si="12"/>
        <v>-2.5241598973302359E-2</v>
      </c>
      <c r="D299" s="2">
        <v>5.6254299999999998E-3</v>
      </c>
      <c r="E299" s="3">
        <f t="shared" si="13"/>
        <v>102.74571762236909</v>
      </c>
      <c r="F299">
        <v>2.7647516690194598E-3</v>
      </c>
      <c r="G299">
        <f t="shared" si="14"/>
        <v>102.45343936524172</v>
      </c>
    </row>
    <row r="300" spans="1:8">
      <c r="A300" s="1">
        <v>41944</v>
      </c>
      <c r="B300">
        <v>99.727191393367605</v>
      </c>
      <c r="C300">
        <f t="shared" si="12"/>
        <v>1.0324623790829435E-3</v>
      </c>
      <c r="D300" s="2">
        <v>-1.3865799999999999E-2</v>
      </c>
      <c r="E300" s="3">
        <f t="shared" si="13"/>
        <v>98.242909614313746</v>
      </c>
      <c r="F300">
        <v>-2.0403373986482599E-2</v>
      </c>
      <c r="G300">
        <f t="shared" si="14"/>
        <v>97.591608513255807</v>
      </c>
    </row>
    <row r="301" spans="1:8">
      <c r="A301" s="1">
        <v>41974</v>
      </c>
      <c r="B301">
        <v>101.50574584479899</v>
      </c>
      <c r="C301">
        <f t="shared" si="12"/>
        <v>1.7677034274747427E-2</v>
      </c>
      <c r="D301" s="2">
        <v>-1.20822E-2</v>
      </c>
      <c r="E301" s="3">
        <f t="shared" si="13"/>
        <v>98.522267521514664</v>
      </c>
      <c r="F301">
        <v>-2.6839911006391001E-3</v>
      </c>
      <c r="G301">
        <f t="shared" si="14"/>
        <v>99.459524499176069</v>
      </c>
    </row>
    <row r="302" spans="1:8">
      <c r="A302" s="1">
        <v>42005</v>
      </c>
      <c r="B302">
        <v>99.272383126890205</v>
      </c>
      <c r="C302">
        <f t="shared" si="12"/>
        <v>-2.2247989358008979E-2</v>
      </c>
      <c r="D302" s="2">
        <v>3.9948000000000002E-4</v>
      </c>
      <c r="E302" s="3">
        <f t="shared" si="13"/>
        <v>101.54629536014907</v>
      </c>
      <c r="F302">
        <v>-2.1074626594781799E-2</v>
      </c>
      <c r="G302">
        <f t="shared" si="14"/>
        <v>99.366550153895034</v>
      </c>
    </row>
    <row r="303" spans="1:8">
      <c r="A303" s="1">
        <v>42036</v>
      </c>
      <c r="B303">
        <v>98.827032844232505</v>
      </c>
      <c r="C303">
        <f t="shared" si="12"/>
        <v>-4.4962377172765855E-3</v>
      </c>
      <c r="D303" s="2">
        <v>-5.9322999999999997E-3</v>
      </c>
      <c r="E303" s="3">
        <f t="shared" si="13"/>
        <v>98.683469568466549</v>
      </c>
      <c r="F303">
        <v>-2.01620534062385E-2</v>
      </c>
      <c r="G303">
        <f t="shared" si="14"/>
        <v>97.270848036521272</v>
      </c>
    </row>
    <row r="304" spans="1:8">
      <c r="A304" s="1">
        <v>42064</v>
      </c>
      <c r="B304">
        <v>100.162856476843</v>
      </c>
      <c r="C304">
        <f t="shared" si="12"/>
        <v>1.3426246970261069E-2</v>
      </c>
      <c r="D304" s="2">
        <v>-3.1297999999999999E-3</v>
      </c>
      <c r="E304" s="3">
        <f t="shared" si="13"/>
        <v>98.517723996836622</v>
      </c>
      <c r="F304">
        <v>3.2574098557233797E-2</v>
      </c>
      <c r="G304">
        <f t="shared" si="14"/>
        <v>102.04623435221951</v>
      </c>
    </row>
    <row r="305" spans="1:8">
      <c r="A305" s="1">
        <v>42095</v>
      </c>
      <c r="B305">
        <v>101.15030435284299</v>
      </c>
      <c r="C305">
        <f t="shared" si="12"/>
        <v>9.8101464520761184E-3</v>
      </c>
      <c r="D305" s="2">
        <v>5.9083199999999999E-3</v>
      </c>
      <c r="E305" s="3">
        <f t="shared" si="13"/>
        <v>100.75465068502227</v>
      </c>
      <c r="F305">
        <v>3.58737353235483E-3</v>
      </c>
      <c r="G305">
        <f t="shared" si="14"/>
        <v>100.52217805709309</v>
      </c>
    </row>
    <row r="306" spans="1:8">
      <c r="A306" s="1">
        <v>42125</v>
      </c>
      <c r="B306">
        <v>98.321985701845193</v>
      </c>
      <c r="C306">
        <f t="shared" si="12"/>
        <v>-2.8359911164605123E-2</v>
      </c>
      <c r="D306" s="2">
        <v>2.5688999999999998E-3</v>
      </c>
      <c r="E306" s="3">
        <f t="shared" si="13"/>
        <v>101.41014936969501</v>
      </c>
      <c r="F306">
        <v>2.3028242867439899E-3</v>
      </c>
      <c r="G306">
        <f t="shared" si="14"/>
        <v>101.38323573031826</v>
      </c>
    </row>
    <row r="307" spans="1:8">
      <c r="A307" s="1">
        <v>42156</v>
      </c>
      <c r="B307">
        <v>101.609160612069</v>
      </c>
      <c r="C307">
        <f t="shared" si="12"/>
        <v>3.2886033214106547E-2</v>
      </c>
      <c r="D307" s="2">
        <v>9.3039999999999996E-4</v>
      </c>
      <c r="E307" s="3">
        <f t="shared" si="13"/>
        <v>98.413464477342188</v>
      </c>
      <c r="F307">
        <v>3.5174214281141702E-3</v>
      </c>
      <c r="G307">
        <f t="shared" si="14"/>
        <v>98.667825561207593</v>
      </c>
    </row>
    <row r="308" spans="1:8">
      <c r="A308" s="1">
        <v>42186</v>
      </c>
      <c r="B308">
        <v>100.56840384006</v>
      </c>
      <c r="C308">
        <f t="shared" si="12"/>
        <v>-1.0295563388008411E-2</v>
      </c>
      <c r="D308" s="2">
        <v>5.3242300000000001E-3</v>
      </c>
      <c r="E308" s="3">
        <f t="shared" si="13"/>
        <v>102.15015115327461</v>
      </c>
      <c r="F308">
        <v>1.1530370451509901E-2</v>
      </c>
      <c r="G308">
        <f t="shared" si="14"/>
        <v>102.78075187519313</v>
      </c>
    </row>
    <row r="309" spans="1:8">
      <c r="A309" s="1">
        <v>42217</v>
      </c>
      <c r="B309">
        <v>101.551473090442</v>
      </c>
      <c r="C309">
        <f t="shared" si="12"/>
        <v>9.7276627851599073E-3</v>
      </c>
      <c r="D309" s="2">
        <v>-1.0808E-3</v>
      </c>
      <c r="E309" s="3">
        <f t="shared" si="13"/>
        <v>100.45970950918966</v>
      </c>
      <c r="F309">
        <v>-1.1479245731606999E-3</v>
      </c>
      <c r="G309">
        <f t="shared" si="14"/>
        <v>100.45295889800845</v>
      </c>
      <c r="H309" s="3"/>
    </row>
    <row r="310" spans="1:8">
      <c r="A310" s="1">
        <v>42248</v>
      </c>
      <c r="B310">
        <v>105.767050993102</v>
      </c>
      <c r="C310">
        <f t="shared" si="12"/>
        <v>4.0673249652615873E-2</v>
      </c>
      <c r="D310" s="2">
        <v>1.8108340000000001E-2</v>
      </c>
      <c r="E310" s="3">
        <f t="shared" si="13"/>
        <v>103.39040169266458</v>
      </c>
      <c r="F310">
        <v>1.19693242013454E-2</v>
      </c>
      <c r="G310">
        <f t="shared" si="14"/>
        <v>102.76697559498571</v>
      </c>
    </row>
    <row r="311" spans="1:8">
      <c r="A311" s="1">
        <v>42278</v>
      </c>
      <c r="B311">
        <v>101.766466784616</v>
      </c>
      <c r="C311">
        <f t="shared" si="12"/>
        <v>-3.8558396684521767E-2</v>
      </c>
      <c r="D311" s="2">
        <v>2.4925000000000001E-4</v>
      </c>
      <c r="E311" s="3">
        <f t="shared" si="13"/>
        <v>105.79341343056204</v>
      </c>
      <c r="F311">
        <v>-1.1528241157066E-4</v>
      </c>
      <c r="G311">
        <f t="shared" si="14"/>
        <v>105.7548579123988</v>
      </c>
    </row>
    <row r="312" spans="1:8">
      <c r="A312" s="1">
        <v>42309</v>
      </c>
      <c r="B312">
        <v>100.50280771632301</v>
      </c>
      <c r="C312">
        <f t="shared" si="12"/>
        <v>-1.2494982365021556E-2</v>
      </c>
      <c r="D312" s="4">
        <v>2.3499999999999999E-5</v>
      </c>
      <c r="E312" s="3">
        <f t="shared" si="13"/>
        <v>101.76885829658544</v>
      </c>
      <c r="F312">
        <v>3.2625783933326602E-4</v>
      </c>
      <c r="G312">
        <f t="shared" si="14"/>
        <v>101.79966889218574</v>
      </c>
    </row>
    <row r="313" spans="1:8">
      <c r="A313" s="1">
        <v>42339</v>
      </c>
      <c r="B313">
        <v>105.44663459305499</v>
      </c>
      <c r="C313">
        <f t="shared" si="12"/>
        <v>4.8019327113406618E-2</v>
      </c>
      <c r="D313" s="2">
        <v>-8.2839999999999997E-4</v>
      </c>
      <c r="E313" s="3">
        <f t="shared" si="13"/>
        <v>100.4195511904108</v>
      </c>
      <c r="F313">
        <v>-7.6658959733322198E-4</v>
      </c>
      <c r="G313">
        <f t="shared" si="14"/>
        <v>100.42576330942489</v>
      </c>
    </row>
    <row r="314" spans="1:8">
      <c r="A314" s="1">
        <v>42370</v>
      </c>
      <c r="B314">
        <v>101.03750079642001</v>
      </c>
      <c r="C314">
        <f t="shared" si="12"/>
        <v>-4.271324875576088E-2</v>
      </c>
      <c r="D314" s="2">
        <v>1.85198E-3</v>
      </c>
      <c r="E314" s="3">
        <f t="shared" si="13"/>
        <v>105.64191965138865</v>
      </c>
      <c r="F314">
        <v>2.29065841995179E-3</v>
      </c>
      <c r="G314">
        <f t="shared" si="14"/>
        <v>105.68817681444115</v>
      </c>
    </row>
    <row r="315" spans="1:8">
      <c r="A315" s="1">
        <v>42401</v>
      </c>
      <c r="B315">
        <v>99.874643123726997</v>
      </c>
      <c r="C315">
        <f t="shared" si="12"/>
        <v>-1.1575912091594809E-2</v>
      </c>
      <c r="D315" s="2">
        <v>-1.3194000000000001E-3</v>
      </c>
      <c r="E315" s="3">
        <f t="shared" si="13"/>
        <v>100.90419191786921</v>
      </c>
      <c r="F315">
        <v>-1.02250196505337E-3</v>
      </c>
      <c r="G315">
        <f t="shared" si="14"/>
        <v>100.93418975331159</v>
      </c>
    </row>
    <row r="316" spans="1:8">
      <c r="A316" s="1">
        <v>42430</v>
      </c>
      <c r="B316">
        <v>104.014802849528</v>
      </c>
      <c r="C316">
        <f t="shared" si="12"/>
        <v>4.0617393253522316E-2</v>
      </c>
      <c r="D316" s="2">
        <v>-9.6372999999999997E-3</v>
      </c>
      <c r="E316" s="3">
        <f t="shared" si="13"/>
        <v>98.912121225550706</v>
      </c>
      <c r="F316">
        <v>-1.03729106485843E-2</v>
      </c>
      <c r="G316">
        <f t="shared" si="14"/>
        <v>98.838652374545333</v>
      </c>
    </row>
    <row r="317" spans="1:8">
      <c r="A317" s="1">
        <v>42461</v>
      </c>
      <c r="B317">
        <v>99.215295537458601</v>
      </c>
      <c r="C317">
        <f t="shared" si="12"/>
        <v>-4.7241032813696293E-2</v>
      </c>
      <c r="D317" s="2">
        <v>-3.4665999999999998E-3</v>
      </c>
      <c r="E317" s="3">
        <f t="shared" si="13"/>
        <v>103.65422513396982</v>
      </c>
      <c r="F317">
        <v>5.1918365061283103E-3</v>
      </c>
      <c r="G317">
        <f t="shared" si="14"/>
        <v>104.55483070013992</v>
      </c>
    </row>
    <row r="318" spans="1:8">
      <c r="A318" s="1">
        <v>42491</v>
      </c>
      <c r="B318">
        <v>102.316451484658</v>
      </c>
      <c r="C318">
        <f t="shared" si="12"/>
        <v>3.0778284814260815E-2</v>
      </c>
      <c r="D318" s="2">
        <v>-2.6511999999999998E-3</v>
      </c>
      <c r="E318" s="3">
        <f t="shared" si="13"/>
        <v>98.952255945929693</v>
      </c>
      <c r="F318">
        <v>-1.5998605638742398E-2</v>
      </c>
      <c r="G318">
        <f t="shared" si="14"/>
        <v>97.627989150823524</v>
      </c>
    </row>
    <row r="319" spans="1:8">
      <c r="A319" s="1">
        <v>42522</v>
      </c>
      <c r="B319">
        <v>101.736230430744</v>
      </c>
      <c r="C319">
        <f t="shared" si="12"/>
        <v>-5.6869884017327621E-3</v>
      </c>
      <c r="D319" s="2">
        <v>6.6241E-4</v>
      </c>
      <c r="E319" s="3">
        <f t="shared" si="13"/>
        <v>102.38422692528596</v>
      </c>
      <c r="F319">
        <v>5.3513683378696398E-3</v>
      </c>
      <c r="G319">
        <f t="shared" si="14"/>
        <v>102.86398450357618</v>
      </c>
      <c r="H319" s="3"/>
    </row>
    <row r="320" spans="1:8">
      <c r="A320" s="1">
        <v>42552</v>
      </c>
      <c r="B320">
        <v>98.503613678732904</v>
      </c>
      <c r="C320">
        <f t="shared" si="12"/>
        <v>-3.2290253104318545E-2</v>
      </c>
      <c r="D320" s="2">
        <v>-9.0565000000000003E-3</v>
      </c>
      <c r="E320" s="3">
        <f t="shared" si="13"/>
        <v>100.81485625984797</v>
      </c>
      <c r="F320">
        <v>0.27045583724975503</v>
      </c>
      <c r="G320">
        <f t="shared" si="14"/>
        <v>129.25138781052488</v>
      </c>
    </row>
    <row r="321" spans="1:8">
      <c r="A321" s="1">
        <v>42583</v>
      </c>
      <c r="B321">
        <v>100.384240990949</v>
      </c>
      <c r="C321">
        <f t="shared" si="12"/>
        <v>1.8911998097399518E-2</v>
      </c>
      <c r="D321" s="2">
        <v>9.3351900000000002E-3</v>
      </c>
      <c r="E321" s="3">
        <f t="shared" si="13"/>
        <v>99.423163628110473</v>
      </c>
      <c r="F321">
        <v>-0.141356825828552</v>
      </c>
      <c r="G321">
        <f t="shared" si="14"/>
        <v>84.579455516465288</v>
      </c>
    </row>
    <row r="322" spans="1:8">
      <c r="A322" s="1">
        <v>42614</v>
      </c>
      <c r="B322">
        <v>102.13256594530699</v>
      </c>
      <c r="C322">
        <f t="shared" si="12"/>
        <v>1.7266402883540088E-2</v>
      </c>
      <c r="D322" s="2">
        <v>-7.7174000000000001E-3</v>
      </c>
      <c r="E322" s="3">
        <f t="shared" si="13"/>
        <v>99.609535649525441</v>
      </c>
      <c r="F322">
        <v>-0.136537730693817</v>
      </c>
      <c r="G322">
        <f t="shared" si="14"/>
        <v>86.678004528623575</v>
      </c>
    </row>
    <row r="323" spans="1:8">
      <c r="A323" s="1">
        <v>42644</v>
      </c>
      <c r="B323">
        <v>102.87481092295501</v>
      </c>
      <c r="C323">
        <f t="shared" si="12"/>
        <v>7.2411854858183133E-3</v>
      </c>
      <c r="D323" s="2">
        <v>3.63759E-3</v>
      </c>
      <c r="E323" s="3">
        <f t="shared" si="13"/>
        <v>102.50408234586398</v>
      </c>
      <c r="F323">
        <v>1.10705103725194E-3</v>
      </c>
      <c r="G323">
        <f t="shared" si="14"/>
        <v>102.24563190837395</v>
      </c>
    </row>
    <row r="324" spans="1:8">
      <c r="A324" s="1">
        <v>42675</v>
      </c>
      <c r="B324">
        <v>98.566600233326099</v>
      </c>
      <c r="C324">
        <f t="shared" ref="C324:C361" si="15">LN(B324)-LN(B323)</f>
        <v>-4.2780356869473124E-2</v>
      </c>
      <c r="D324" s="2">
        <v>1.00402E-3</v>
      </c>
      <c r="E324" s="3">
        <f t="shared" si="13"/>
        <v>102.97809929061788</v>
      </c>
      <c r="F324">
        <v>-4.6058781445026398E-3</v>
      </c>
      <c r="G324">
        <f t="shared" si="14"/>
        <v>102.40098207970513</v>
      </c>
    </row>
    <row r="325" spans="1:8">
      <c r="A325" s="1">
        <v>42705</v>
      </c>
      <c r="B325">
        <v>101.24849473072901</v>
      </c>
      <c r="C325">
        <f t="shared" si="15"/>
        <v>2.6845374823030177E-2</v>
      </c>
      <c r="D325" s="2">
        <v>8.8915000000000001E-4</v>
      </c>
      <c r="E325" s="3">
        <f t="shared" ref="E325:E361" si="16">B324*D325+B324</f>
        <v>98.654240725923557</v>
      </c>
      <c r="F325">
        <v>9.0295914560556394E-3</v>
      </c>
      <c r="G325">
        <f t="shared" si="14"/>
        <v>99.456616364645399</v>
      </c>
    </row>
    <row r="326" spans="1:8">
      <c r="A326" s="1">
        <v>42736</v>
      </c>
      <c r="B326">
        <v>100.036596243837</v>
      </c>
      <c r="C326">
        <f t="shared" si="15"/>
        <v>-1.2041757540597331E-2</v>
      </c>
      <c r="D326" s="2">
        <v>-4.3525999999999999E-3</v>
      </c>
      <c r="E326" s="3">
        <f t="shared" si="16"/>
        <v>100.80780053256403</v>
      </c>
      <c r="F326">
        <v>-5.0374432466924104E-3</v>
      </c>
      <c r="G326">
        <f t="shared" si="14"/>
        <v>100.73846118470992</v>
      </c>
    </row>
    <row r="327" spans="1:8">
      <c r="A327" s="1">
        <v>42767</v>
      </c>
      <c r="B327">
        <v>99.106352878514699</v>
      </c>
      <c r="C327">
        <f t="shared" si="15"/>
        <v>-9.342536460505535E-3</v>
      </c>
      <c r="D327" s="2">
        <v>2.112238E-2</v>
      </c>
      <c r="E327" s="3">
        <f t="shared" si="16"/>
        <v>102.1496072436059</v>
      </c>
      <c r="F327">
        <v>-4.3599489144980899E-3</v>
      </c>
      <c r="G327">
        <f t="shared" ref="G327:G361" si="17">B326*F327+B326</f>
        <v>99.600441794633596</v>
      </c>
    </row>
    <row r="328" spans="1:8">
      <c r="A328" s="1">
        <v>42795</v>
      </c>
      <c r="B328">
        <v>99.913301388670106</v>
      </c>
      <c r="C328">
        <f t="shared" si="15"/>
        <v>8.1092788069279109E-3</v>
      </c>
      <c r="D328" s="2">
        <v>-2.8847000000000001E-2</v>
      </c>
      <c r="E328" s="3">
        <f t="shared" si="16"/>
        <v>96.24743191702818</v>
      </c>
      <c r="F328">
        <v>-2.67979269847273E-3</v>
      </c>
      <c r="G328">
        <f t="shared" si="17"/>
        <v>98.840768397698596</v>
      </c>
    </row>
    <row r="329" spans="1:8">
      <c r="A329" s="1">
        <v>42826</v>
      </c>
      <c r="B329">
        <v>103.08219413737601</v>
      </c>
      <c r="C329">
        <f t="shared" si="15"/>
        <v>3.1223847504644908E-2</v>
      </c>
      <c r="D329" s="2">
        <v>-1.1594000000000001E-3</v>
      </c>
      <c r="E329" s="3">
        <f t="shared" si="16"/>
        <v>99.797461907040088</v>
      </c>
      <c r="F329">
        <v>3.0399827286601001E-2</v>
      </c>
      <c r="G329">
        <f t="shared" si="17"/>
        <v>102.95064849451978</v>
      </c>
    </row>
    <row r="330" spans="1:8">
      <c r="A330" s="1">
        <v>42856</v>
      </c>
      <c r="B330">
        <v>101.258057277408</v>
      </c>
      <c r="C330">
        <f t="shared" si="15"/>
        <v>-1.7854390460650293E-2</v>
      </c>
      <c r="D330" s="2">
        <v>1.0672930000000001E-2</v>
      </c>
      <c r="E330" s="3">
        <f t="shared" si="16"/>
        <v>104.18238317965063</v>
      </c>
      <c r="F330">
        <v>-2.02632676810026E-2</v>
      </c>
      <c r="G330">
        <f t="shared" si="17"/>
        <v>100.99341204442528</v>
      </c>
    </row>
    <row r="331" spans="1:8">
      <c r="A331" s="1">
        <v>42887</v>
      </c>
      <c r="B331">
        <v>101.067746577851</v>
      </c>
      <c r="C331">
        <f t="shared" si="15"/>
        <v>-1.8812306888884578E-3</v>
      </c>
      <c r="D331" s="2">
        <v>1.150341E-2</v>
      </c>
      <c r="E331" s="3">
        <f t="shared" si="16"/>
        <v>102.42287022607351</v>
      </c>
      <c r="F331">
        <v>1.08803389593958E-2</v>
      </c>
      <c r="G331">
        <f t="shared" si="17"/>
        <v>102.35977926295611</v>
      </c>
      <c r="H331" s="3"/>
    </row>
    <row r="332" spans="1:8">
      <c r="A332" s="1">
        <v>42917</v>
      </c>
      <c r="B332">
        <v>100.837124647786</v>
      </c>
      <c r="C332">
        <f t="shared" si="15"/>
        <v>-2.2844622713851237E-3</v>
      </c>
      <c r="D332" s="2">
        <v>-2.4843199999999999E-2</v>
      </c>
      <c r="E332" s="3">
        <f t="shared" si="16"/>
        <v>98.556900336068125</v>
      </c>
      <c r="F332">
        <v>-6.7090648226439901E-3</v>
      </c>
      <c r="G332">
        <f t="shared" si="17"/>
        <v>100.38967651458164</v>
      </c>
      <c r="H332" s="3"/>
    </row>
    <row r="333" spans="1:8">
      <c r="A333" s="1">
        <v>42948</v>
      </c>
      <c r="B333">
        <v>99.724525491588295</v>
      </c>
      <c r="C333">
        <f t="shared" si="15"/>
        <v>-1.1094948297616369E-2</v>
      </c>
      <c r="D333" s="2">
        <v>-0.22333649999999999</v>
      </c>
      <c r="E333" s="3">
        <f t="shared" si="16"/>
        <v>78.316514158885738</v>
      </c>
      <c r="F333">
        <v>-4.7398353926837401E-3</v>
      </c>
      <c r="G333">
        <f t="shared" si="17"/>
        <v>100.35917327548395</v>
      </c>
    </row>
    <row r="334" spans="1:8">
      <c r="A334" s="1">
        <v>42979</v>
      </c>
      <c r="B334">
        <v>101.474402446504</v>
      </c>
      <c r="C334">
        <f t="shared" si="15"/>
        <v>1.7394934419580288E-2</v>
      </c>
      <c r="D334" s="2">
        <v>0.23707758000000001</v>
      </c>
      <c r="E334" s="3">
        <f t="shared" si="16"/>
        <v>123.36697466178236</v>
      </c>
      <c r="F334">
        <v>3.4670910099521198E-4</v>
      </c>
      <c r="G334">
        <f t="shared" si="17"/>
        <v>99.759100892168661</v>
      </c>
    </row>
    <row r="335" spans="1:8">
      <c r="A335" s="1">
        <v>43009</v>
      </c>
      <c r="B335">
        <v>99.825103310531603</v>
      </c>
      <c r="C335">
        <f t="shared" si="15"/>
        <v>-1.6386886165479453E-2</v>
      </c>
      <c r="D335" s="2">
        <v>4.0055250000000001E-2</v>
      </c>
      <c r="E335" s="3">
        <f t="shared" si="16"/>
        <v>105.53898500509933</v>
      </c>
      <c r="F335">
        <v>-6.1497738352045395E-4</v>
      </c>
      <c r="G335">
        <f t="shared" si="17"/>
        <v>101.41199798399315</v>
      </c>
    </row>
    <row r="336" spans="1:8">
      <c r="A336" s="1">
        <v>43040</v>
      </c>
      <c r="B336">
        <v>101.444180756949</v>
      </c>
      <c r="C336">
        <f t="shared" si="15"/>
        <v>1.6089016061111572E-2</v>
      </c>
      <c r="D336" s="2">
        <v>-7.3566999999999994E-2</v>
      </c>
      <c r="E336" s="3">
        <f t="shared" si="16"/>
        <v>92.481269935285724</v>
      </c>
      <c r="F336">
        <v>-1.1353095062077E-2</v>
      </c>
      <c r="G336">
        <f t="shared" si="17"/>
        <v>98.691779423065483</v>
      </c>
    </row>
    <row r="337" spans="1:7">
      <c r="A337" s="1">
        <v>43070</v>
      </c>
      <c r="B337">
        <v>99.619073239121207</v>
      </c>
      <c r="C337">
        <f t="shared" si="15"/>
        <v>-1.8155059284452157E-2</v>
      </c>
      <c r="D337" s="2">
        <v>2.9704649999999999E-2</v>
      </c>
      <c r="E337" s="3">
        <f t="shared" si="16"/>
        <v>104.45754464087091</v>
      </c>
      <c r="F337">
        <v>8.1609720364212903E-3</v>
      </c>
      <c r="G337">
        <f t="shared" si="17"/>
        <v>102.27206387936413</v>
      </c>
    </row>
    <row r="338" spans="1:7">
      <c r="A338" s="1">
        <v>43101</v>
      </c>
      <c r="B338">
        <v>99.097395927633499</v>
      </c>
      <c r="C338">
        <f t="shared" si="15"/>
        <v>-5.2504808697708683E-3</v>
      </c>
      <c r="D338" s="2">
        <v>1.41416E-3</v>
      </c>
      <c r="E338" s="3">
        <f t="shared" si="16"/>
        <v>99.759950547733041</v>
      </c>
      <c r="F338">
        <v>-1.1023785918951001E-4</v>
      </c>
      <c r="G338">
        <f t="shared" si="17"/>
        <v>99.608091445752876</v>
      </c>
    </row>
    <row r="339" spans="1:7">
      <c r="A339" s="1">
        <v>43132</v>
      </c>
      <c r="B339">
        <v>101.741061164521</v>
      </c>
      <c r="C339">
        <f t="shared" si="15"/>
        <v>2.6327805728586284E-2</v>
      </c>
      <c r="D339" s="2">
        <v>-2.5856E-3</v>
      </c>
      <c r="E339" s="3">
        <f t="shared" si="16"/>
        <v>98.841169700723015</v>
      </c>
      <c r="F339">
        <v>-5.7532778009772301E-4</v>
      </c>
      <c r="G339">
        <f t="shared" si="17"/>
        <v>99.040382442820984</v>
      </c>
    </row>
    <row r="340" spans="1:7">
      <c r="A340" s="1">
        <v>43160</v>
      </c>
      <c r="B340">
        <v>99.7740977566027</v>
      </c>
      <c r="C340">
        <f t="shared" si="15"/>
        <v>-1.9522361386960618E-2</v>
      </c>
      <c r="D340" s="2">
        <v>2.5442999999999999E-4</v>
      </c>
      <c r="E340" s="3">
        <f t="shared" si="16"/>
        <v>101.76694714271309</v>
      </c>
      <c r="F340">
        <v>-2.31481943046674E-4</v>
      </c>
      <c r="G340">
        <f t="shared" si="17"/>
        <v>101.717509945995</v>
      </c>
    </row>
    <row r="341" spans="1:7">
      <c r="A341" s="1">
        <v>43191</v>
      </c>
      <c r="B341">
        <v>97.943625711374906</v>
      </c>
      <c r="C341">
        <f t="shared" si="15"/>
        <v>-1.851654280474424E-2</v>
      </c>
      <c r="D341" s="2">
        <v>-4.5944000000000002E-3</v>
      </c>
      <c r="E341" s="3">
        <f t="shared" si="16"/>
        <v>99.315695641869766</v>
      </c>
      <c r="F341">
        <v>-3.1632503960281602E-3</v>
      </c>
      <c r="G341">
        <f t="shared" si="17"/>
        <v>99.45848730236078</v>
      </c>
    </row>
    <row r="342" spans="1:7">
      <c r="A342" s="1">
        <v>43221</v>
      </c>
      <c r="B342">
        <v>98.898514730213904</v>
      </c>
      <c r="C342">
        <f t="shared" si="15"/>
        <v>9.7021553122553783E-3</v>
      </c>
      <c r="D342" s="2">
        <v>-1.2572E-3</v>
      </c>
      <c r="E342" s="3">
        <f t="shared" si="16"/>
        <v>97.820490985130562</v>
      </c>
      <c r="F342">
        <v>-4.2725414969026999E-3</v>
      </c>
      <c r="G342">
        <f t="shared" si="17"/>
        <v>97.525157506165954</v>
      </c>
    </row>
    <row r="343" spans="1:7">
      <c r="A343" s="1">
        <v>43252</v>
      </c>
      <c r="B343">
        <v>102.717419093399</v>
      </c>
      <c r="C343">
        <f t="shared" si="15"/>
        <v>3.7887493356428159E-2</v>
      </c>
      <c r="D343" s="2">
        <v>2.3426200000000001E-3</v>
      </c>
      <c r="E343" s="3">
        <f t="shared" si="16"/>
        <v>99.130196368791204</v>
      </c>
      <c r="F343">
        <v>3.9268103428184899E-3</v>
      </c>
      <c r="G343">
        <f t="shared" si="17"/>
        <v>99.286870440745901</v>
      </c>
    </row>
    <row r="344" spans="1:7">
      <c r="A344" s="1">
        <v>43282</v>
      </c>
      <c r="B344">
        <v>100.35962468276701</v>
      </c>
      <c r="C344">
        <f t="shared" si="15"/>
        <v>-2.3221732195770173E-2</v>
      </c>
      <c r="D344" s="2">
        <v>1.350232E-2</v>
      </c>
      <c r="E344" s="3">
        <f t="shared" si="16"/>
        <v>104.10434255557219</v>
      </c>
      <c r="F344">
        <v>1.5265391208231401E-2</v>
      </c>
      <c r="G344">
        <f t="shared" si="17"/>
        <v>104.28544067975959</v>
      </c>
    </row>
    <row r="345" spans="1:7">
      <c r="A345" s="1">
        <v>43313</v>
      </c>
      <c r="B345">
        <v>101.972559950991</v>
      </c>
      <c r="C345">
        <f t="shared" si="15"/>
        <v>1.5943775221700207E-2</v>
      </c>
      <c r="D345" s="2">
        <v>-6.7147999999999999E-3</v>
      </c>
      <c r="E345" s="3">
        <f t="shared" si="16"/>
        <v>99.685729874947157</v>
      </c>
      <c r="F345">
        <v>-1.02275912649929E-3</v>
      </c>
      <c r="G345">
        <f t="shared" si="17"/>
        <v>100.25698096069067</v>
      </c>
    </row>
    <row r="346" spans="1:7">
      <c r="A346" s="1">
        <v>43344</v>
      </c>
      <c r="B346">
        <v>101.215776080981</v>
      </c>
      <c r="C346">
        <f t="shared" si="15"/>
        <v>-7.4491221715202727E-3</v>
      </c>
      <c r="D346" s="2">
        <v>6.4388500000000003E-3</v>
      </c>
      <c r="E346" s="3">
        <f t="shared" si="16"/>
        <v>102.62914596863143</v>
      </c>
      <c r="F346">
        <v>-1.0162700200453401E-3</v>
      </c>
      <c r="G346">
        <f t="shared" si="17"/>
        <v>101.86892829544553</v>
      </c>
    </row>
    <row r="347" spans="1:7">
      <c r="A347" s="1">
        <v>43374</v>
      </c>
      <c r="B347">
        <v>102.688456332188</v>
      </c>
      <c r="C347">
        <f t="shared" si="15"/>
        <v>1.4445073956177445E-2</v>
      </c>
      <c r="D347" s="2">
        <v>5.1049299999999997E-3</v>
      </c>
      <c r="E347" s="3">
        <f t="shared" si="16"/>
        <v>101.73247553277008</v>
      </c>
      <c r="F347">
        <v>-7.9653793945908494E-3</v>
      </c>
      <c r="G347">
        <f t="shared" si="17"/>
        <v>100.40955402377803</v>
      </c>
    </row>
    <row r="348" spans="1:7">
      <c r="A348" s="1">
        <v>43405</v>
      </c>
      <c r="B348">
        <v>98.869315729488704</v>
      </c>
      <c r="C348">
        <f t="shared" si="15"/>
        <v>-3.7900773814529387E-2</v>
      </c>
      <c r="D348" s="2">
        <v>-3.1454E-3</v>
      </c>
      <c r="E348" s="3">
        <f t="shared" si="16"/>
        <v>102.36546006164073</v>
      </c>
      <c r="F348">
        <v>2.0086404401808899E-3</v>
      </c>
      <c r="G348">
        <f t="shared" si="17"/>
        <v>102.89472051831657</v>
      </c>
    </row>
    <row r="349" spans="1:7">
      <c r="A349" s="1">
        <v>43435</v>
      </c>
      <c r="B349">
        <v>99.574495379338103</v>
      </c>
      <c r="C349">
        <f t="shared" si="15"/>
        <v>7.1071263366535575E-3</v>
      </c>
      <c r="D349" s="2">
        <v>-9.9495999999999994E-3</v>
      </c>
      <c r="E349" s="3">
        <f t="shared" si="16"/>
        <v>97.885605585706585</v>
      </c>
      <c r="F349">
        <v>-2.0332897547632399E-3</v>
      </c>
      <c r="G349">
        <f t="shared" si="17"/>
        <v>98.668285762755488</v>
      </c>
    </row>
    <row r="350" spans="1:7">
      <c r="A350" s="1">
        <v>43466</v>
      </c>
      <c r="B350">
        <v>102.61081854143799</v>
      </c>
      <c r="C350">
        <f t="shared" si="15"/>
        <v>3.003730974118568E-2</v>
      </c>
      <c r="D350" s="2">
        <v>9.2336299999999996E-3</v>
      </c>
      <c r="E350" s="3">
        <f t="shared" si="16"/>
        <v>100.49392942710762</v>
      </c>
      <c r="F350">
        <v>4.18067816644907E-3</v>
      </c>
      <c r="G350">
        <f t="shared" si="17"/>
        <v>99.99078429810568</v>
      </c>
    </row>
    <row r="351" spans="1:7">
      <c r="A351" s="1">
        <v>43497</v>
      </c>
      <c r="B351">
        <v>100.168185502245</v>
      </c>
      <c r="C351">
        <f t="shared" si="15"/>
        <v>-2.4092742775348341E-2</v>
      </c>
      <c r="D351" s="2">
        <v>-2.2882000000000002E-3</v>
      </c>
      <c r="E351" s="3">
        <f t="shared" si="16"/>
        <v>102.37602446645147</v>
      </c>
      <c r="F351">
        <v>2.5645182467997E-3</v>
      </c>
      <c r="G351">
        <f t="shared" si="17"/>
        <v>102.87396585790657</v>
      </c>
    </row>
    <row r="352" spans="1:7">
      <c r="A352" s="1">
        <v>43525</v>
      </c>
      <c r="B352">
        <v>100.342112805993</v>
      </c>
      <c r="C352">
        <f t="shared" si="15"/>
        <v>1.7348470261904225E-3</v>
      </c>
      <c r="D352" s="2">
        <v>-3.6259999999999998E-4</v>
      </c>
      <c r="E352" s="3">
        <f t="shared" si="16"/>
        <v>100.13186451818189</v>
      </c>
      <c r="F352">
        <v>-1.6234026406891601E-4</v>
      </c>
      <c r="G352">
        <f t="shared" si="17"/>
        <v>100.15192417255926</v>
      </c>
    </row>
    <row r="353" spans="1:7">
      <c r="A353" s="1">
        <v>43556</v>
      </c>
      <c r="B353">
        <v>102.923606066079</v>
      </c>
      <c r="C353">
        <f t="shared" si="15"/>
        <v>2.5401549061304429E-2</v>
      </c>
      <c r="D353" s="2">
        <v>6.5650700000000001E-3</v>
      </c>
      <c r="E353" s="3">
        <f t="shared" si="16"/>
        <v>101.00086580051224</v>
      </c>
      <c r="F353">
        <v>3.2769080717116499E-3</v>
      </c>
      <c r="G353">
        <f t="shared" si="17"/>
        <v>100.67092468537956</v>
      </c>
    </row>
    <row r="354" spans="1:7">
      <c r="A354" s="1">
        <v>43586</v>
      </c>
      <c r="B354">
        <v>101.354495300632</v>
      </c>
      <c r="C354">
        <f t="shared" si="15"/>
        <v>-1.5362798224984431E-2</v>
      </c>
      <c r="D354" s="2">
        <v>4.6543000000000001E-3</v>
      </c>
      <c r="E354" s="3">
        <f t="shared" si="16"/>
        <v>103.40264340579236</v>
      </c>
      <c r="F354">
        <v>1.35986565146595E-3</v>
      </c>
      <c r="G354">
        <f t="shared" si="17"/>
        <v>103.06356834269327</v>
      </c>
    </row>
    <row r="355" spans="1:7">
      <c r="A355" s="1">
        <v>43617</v>
      </c>
      <c r="B355">
        <v>100.760758445912</v>
      </c>
      <c r="C355">
        <f t="shared" si="15"/>
        <v>-5.8752474305974189E-3</v>
      </c>
      <c r="D355" s="2">
        <v>-4.9125999999999996E-3</v>
      </c>
      <c r="E355" s="3">
        <f t="shared" si="16"/>
        <v>100.85658120701811</v>
      </c>
      <c r="F355">
        <v>1.6699528787285001E-3</v>
      </c>
      <c r="G355">
        <f t="shared" si="17"/>
        <v>101.52375253183136</v>
      </c>
    </row>
    <row r="356" spans="1:7">
      <c r="A356" s="1">
        <v>43647</v>
      </c>
      <c r="B356">
        <v>98.214312329021993</v>
      </c>
      <c r="C356">
        <f t="shared" si="15"/>
        <v>-2.5597027236302416E-2</v>
      </c>
      <c r="D356" s="2">
        <v>6.6100950000000006E-2</v>
      </c>
      <c r="E356" s="3">
        <f t="shared" si="16"/>
        <v>107.42114030190731</v>
      </c>
      <c r="F356">
        <v>9.5822580158710396E-2</v>
      </c>
      <c r="G356">
        <f t="shared" si="17"/>
        <v>110.41591429894785</v>
      </c>
    </row>
    <row r="357" spans="1:7">
      <c r="A357" s="1">
        <v>43678</v>
      </c>
      <c r="B357">
        <v>99.340084548082601</v>
      </c>
      <c r="C357">
        <f t="shared" si="15"/>
        <v>1.1397209305133771E-2</v>
      </c>
      <c r="D357" s="2">
        <v>-8.3121899999999999E-2</v>
      </c>
      <c r="E357" s="3">
        <f t="shared" si="16"/>
        <v>90.050552081040266</v>
      </c>
      <c r="F357">
        <v>4.7393023967742899E-2</v>
      </c>
      <c r="G357">
        <f t="shared" si="17"/>
        <v>102.86898558720672</v>
      </c>
    </row>
    <row r="358" spans="1:7">
      <c r="A358" s="1">
        <v>43709</v>
      </c>
      <c r="B358">
        <v>100.38576481584499</v>
      </c>
      <c r="C358">
        <f t="shared" si="15"/>
        <v>1.0471251725572728E-2</v>
      </c>
      <c r="D358" s="2">
        <v>-6.5256000000000003E-3</v>
      </c>
      <c r="E358" s="3">
        <f t="shared" si="16"/>
        <v>98.69183089235564</v>
      </c>
      <c r="F358">
        <v>-0.16676212847232799</v>
      </c>
      <c r="G358">
        <f t="shared" si="17"/>
        <v>82.773920606223328</v>
      </c>
    </row>
    <row r="359" spans="1:7">
      <c r="A359" s="1">
        <v>43739</v>
      </c>
      <c r="B359">
        <v>99.487415053524003</v>
      </c>
      <c r="C359">
        <f t="shared" si="15"/>
        <v>-8.989258211578921E-3</v>
      </c>
      <c r="D359" s="2">
        <v>-2.0732E-2</v>
      </c>
      <c r="E359" s="3">
        <f t="shared" si="16"/>
        <v>98.304567139682888</v>
      </c>
      <c r="F359">
        <v>2.18130066059529E-3</v>
      </c>
      <c r="G359">
        <f t="shared" si="17"/>
        <v>100.60473635095217</v>
      </c>
    </row>
    <row r="360" spans="1:7">
      <c r="A360" s="1">
        <v>43770</v>
      </c>
      <c r="B360">
        <v>101.112753895559</v>
      </c>
      <c r="C360">
        <f t="shared" si="15"/>
        <v>1.620511507049649E-2</v>
      </c>
      <c r="D360" s="2">
        <v>3.581732E-2</v>
      </c>
      <c r="E360" s="3">
        <f t="shared" si="16"/>
        <v>103.05078763446889</v>
      </c>
      <c r="F360">
        <v>-1.4202921884134401E-3</v>
      </c>
      <c r="G360">
        <f t="shared" si="17"/>
        <v>99.34611385507803</v>
      </c>
    </row>
    <row r="361" spans="1:7">
      <c r="A361" s="1">
        <v>43800</v>
      </c>
      <c r="B361">
        <v>99.031084769942098</v>
      </c>
      <c r="C361">
        <f t="shared" si="15"/>
        <v>-2.0802480935425471E-2</v>
      </c>
      <c r="D361" s="2">
        <v>-9.4254000000000004E-3</v>
      </c>
      <c r="E361" s="3">
        <f t="shared" si="16"/>
        <v>100.15972574499179</v>
      </c>
      <c r="F361">
        <v>4.8988894559442997E-3</v>
      </c>
      <c r="G361">
        <f t="shared" si="17"/>
        <v>101.60809409947944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Jung, Yonggeun</dc:creator>
  <cp:lastModifiedBy>Jung, Yonggeun</cp:lastModifiedBy>
  <dcterms:created xsi:type="dcterms:W3CDTF">2025-06-24T17:45:56Z</dcterms:created>
  <dcterms:modified xsi:type="dcterms:W3CDTF">2025-06-25T00:23:51Z</dcterms:modified>
</cp:coreProperties>
</file>