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ggeun/UFL Dropbox/Jung Yonggeun/Research/Monthly GDP_2506/monthly_gdp_estimation/2_model/Appendix_simulation/"/>
    </mc:Choice>
  </mc:AlternateContent>
  <xr:revisionPtr revIDLastSave="0" documentId="13_ncr:1_{20E9B8B3-93A1-8743-9A95-B21EDDF93F11}" xr6:coauthVersionLast="47" xr6:coauthVersionMax="47" xr10:uidLastSave="{00000000-0000-0000-0000-000000000000}"/>
  <bookViews>
    <workbookView xWindow="10700" yWindow="1020" windowWidth="27700" windowHeight="16880" xr2:uid="{5F4BC430-DE58-1C45-A7D2-78DDAD7AC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" i="1"/>
  <c r="E3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5" i="1"/>
  <c r="E6" i="1"/>
  <c r="E4" i="1"/>
</calcChain>
</file>

<file path=xl/sharedStrings.xml><?xml version="1.0" encoding="utf-8"?>
<sst xmlns="http://schemas.openxmlformats.org/spreadsheetml/2006/main" count="7" uniqueCount="7">
  <si>
    <t>DATE</t>
  </si>
  <si>
    <t>y_true</t>
  </si>
  <si>
    <t>MLP_level_A</t>
    <phoneticPr fontId="1" type="noConversion"/>
  </si>
  <si>
    <t>MLP_diff_A</t>
    <phoneticPr fontId="1" type="noConversion"/>
  </si>
  <si>
    <t>LSTM_diff_A</t>
    <phoneticPr fontId="1" type="noConversion"/>
  </si>
  <si>
    <t>LSTM_level_A</t>
    <phoneticPr fontId="1" type="noConversion"/>
  </si>
  <si>
    <t>y_diff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</si>
</sst>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18E0-37E9-1B44-954D-4A3097FBE7B5}">
  <dimension ref="A1:J361"/>
  <sheetViews>
    <sheetView tabSelected="1" workbookViewId="0">
      <selection activeCell="J1" sqref="J1:J1048576"/>
    </sheetView>
  </sheetViews>
  <sheetFormatPr baseColWidth="10" defaultRowHeight="18"/>
  <sheetData>
    <row r="1" spans="1:10">
      <c r="A1" t="s">
        <v>0</v>
      </c>
      <c r="B1" t="s">
        <v>1</v>
      </c>
      <c r="C1" t="s">
        <v>6</v>
      </c>
      <c r="D1" s="2" t="s">
        <v>3</v>
      </c>
      <c r="E1" t="s">
        <v>2</v>
      </c>
      <c r="F1" s="2" t="s">
        <v>4</v>
      </c>
      <c r="G1" t="s">
        <v>5</v>
      </c>
      <c r="H1" s="2"/>
      <c r="J1" s="2"/>
    </row>
    <row r="2" spans="1:10">
      <c r="A2" s="1">
        <v>32874</v>
      </c>
      <c r="B2">
        <v>230.83673602588101</v>
      </c>
      <c r="D2" s="2"/>
    </row>
    <row r="3" spans="1:10">
      <c r="A3" s="1">
        <v>32905</v>
      </c>
      <c r="B3">
        <v>263.42123498373701</v>
      </c>
      <c r="C3">
        <f>LN(B3)-LN(B2)</f>
        <v>0.13204371463751396</v>
      </c>
      <c r="D3">
        <v>-1.51099003851413E-2</v>
      </c>
      <c r="E3" s="3">
        <f>B2*D3+B2</f>
        <v>227.34881593929879</v>
      </c>
    </row>
    <row r="4" spans="1:10">
      <c r="A4" s="1">
        <v>32933</v>
      </c>
      <c r="B4">
        <v>260.10538377418902</v>
      </c>
      <c r="C4">
        <f t="shared" ref="C4:C67" si="0">LN(B4)-LN(B3)</f>
        <v>-1.2667533725505109E-2</v>
      </c>
      <c r="D4">
        <v>-3.02519109100103E-2</v>
      </c>
      <c r="E4" s="3">
        <f>B3*D4+B3</f>
        <v>255.45223925120411</v>
      </c>
    </row>
    <row r="5" spans="1:10">
      <c r="A5" s="1">
        <v>32964</v>
      </c>
      <c r="B5">
        <v>266.546701158762</v>
      </c>
      <c r="C5">
        <f t="shared" si="0"/>
        <v>2.4462596019922955E-2</v>
      </c>
      <c r="D5">
        <v>0.120029754936695</v>
      </c>
      <c r="E5" s="3">
        <f t="shared" ref="E5:E68" si="1">B4*D5+B4</f>
        <v>291.32576924631996</v>
      </c>
    </row>
    <row r="6" spans="1:10">
      <c r="A6" s="1">
        <v>32994</v>
      </c>
      <c r="B6">
        <v>282.94144817359398</v>
      </c>
      <c r="C6">
        <f t="shared" si="0"/>
        <v>5.9690512201009405E-2</v>
      </c>
      <c r="D6">
        <v>3.3364459872245698E-2</v>
      </c>
      <c r="E6" s="3">
        <f t="shared" si="1"/>
        <v>275.43988787365299</v>
      </c>
      <c r="F6">
        <v>8.4126718342304202E-2</v>
      </c>
      <c r="G6">
        <f>B5*F6+B5</f>
        <v>288.9704004122155</v>
      </c>
      <c r="H6" s="3"/>
    </row>
    <row r="7" spans="1:10">
      <c r="A7" s="1">
        <v>33025</v>
      </c>
      <c r="B7">
        <v>273.66868305550202</v>
      </c>
      <c r="C7">
        <f t="shared" si="0"/>
        <v>-3.3321790519947214E-2</v>
      </c>
      <c r="D7">
        <v>-6.6121630370616899E-2</v>
      </c>
      <c r="E7" s="3">
        <f t="shared" si="1"/>
        <v>264.23289832093252</v>
      </c>
      <c r="F7">
        <v>3.1458709854632599E-3</v>
      </c>
      <c r="G7">
        <f t="shared" ref="G7:G70" si="2">B6*F7+B6</f>
        <v>283.83154546598826</v>
      </c>
      <c r="H7" s="3"/>
    </row>
    <row r="8" spans="1:10">
      <c r="A8" s="1">
        <v>33055</v>
      </c>
      <c r="B8">
        <v>281.14786033497001</v>
      </c>
      <c r="C8">
        <f t="shared" si="0"/>
        <v>2.6962535501369622E-2</v>
      </c>
      <c r="D8">
        <v>1.7529923468828201E-2</v>
      </c>
      <c r="E8" s="3">
        <f t="shared" si="1"/>
        <v>278.46607412527999</v>
      </c>
      <c r="F8">
        <v>6.1254125088453203E-2</v>
      </c>
      <c r="G8">
        <f t="shared" si="2"/>
        <v>290.43201880017597</v>
      </c>
    </row>
    <row r="9" spans="1:10">
      <c r="A9" s="1">
        <v>33086</v>
      </c>
      <c r="B9">
        <v>282.59637170271998</v>
      </c>
      <c r="C9">
        <f t="shared" si="0"/>
        <v>5.1389068771401369E-3</v>
      </c>
      <c r="D9">
        <v>1.20546406833454E-4</v>
      </c>
      <c r="E9" s="3">
        <f t="shared" si="1"/>
        <v>281.18175169932232</v>
      </c>
      <c r="F9">
        <v>-1.7457174137234601E-2</v>
      </c>
      <c r="G9">
        <f t="shared" si="2"/>
        <v>276.23981317879151</v>
      </c>
    </row>
    <row r="10" spans="1:10">
      <c r="A10" s="1">
        <v>33117</v>
      </c>
      <c r="B10">
        <v>282.47911325299901</v>
      </c>
      <c r="C10">
        <f t="shared" si="0"/>
        <v>-4.1501871705929005E-4</v>
      </c>
      <c r="D10">
        <v>9.9861100316047599E-3</v>
      </c>
      <c r="E10" s="3">
        <f t="shared" si="1"/>
        <v>285.41841016507561</v>
      </c>
      <c r="F10">
        <v>-1.6160367056727399E-2</v>
      </c>
      <c r="G10">
        <f t="shared" si="2"/>
        <v>278.02951060710467</v>
      </c>
    </row>
    <row r="11" spans="1:10">
      <c r="A11" s="1">
        <v>33147</v>
      </c>
      <c r="B11">
        <v>267.624830644383</v>
      </c>
      <c r="C11">
        <f t="shared" si="0"/>
        <v>-5.4018498365284273E-2</v>
      </c>
      <c r="D11">
        <v>-2.6313956826925201E-2</v>
      </c>
      <c r="E11" s="3">
        <f t="shared" si="1"/>
        <v>275.0459700623515</v>
      </c>
      <c r="F11">
        <v>4.08162456005811E-3</v>
      </c>
      <c r="G11">
        <f t="shared" si="2"/>
        <v>283.63208693935587</v>
      </c>
    </row>
    <row r="12" spans="1:10">
      <c r="A12" s="1">
        <v>33178</v>
      </c>
      <c r="B12">
        <v>266.03425100627601</v>
      </c>
      <c r="C12">
        <f t="shared" si="0"/>
        <v>-5.9610504263210018E-3</v>
      </c>
      <c r="D12">
        <v>-8.4536047652363708E-3</v>
      </c>
      <c r="E12" s="3">
        <f t="shared" si="1"/>
        <v>265.36243610075206</v>
      </c>
      <c r="F12">
        <v>3.3071355428546602E-3</v>
      </c>
      <c r="G12">
        <f t="shared" si="2"/>
        <v>268.50990223395752</v>
      </c>
    </row>
    <row r="13" spans="1:10">
      <c r="A13" s="1">
        <v>33208</v>
      </c>
      <c r="B13">
        <v>278.39902174162398</v>
      </c>
      <c r="C13">
        <f t="shared" si="0"/>
        <v>4.5430350921060736E-2</v>
      </c>
      <c r="D13">
        <v>-6.4438711851835199E-3</v>
      </c>
      <c r="E13" s="3">
        <f t="shared" si="1"/>
        <v>264.31996056194481</v>
      </c>
      <c r="F13">
        <v>-4.8600189387798302E-2</v>
      </c>
      <c r="G13">
        <f t="shared" si="2"/>
        <v>253.10493602372992</v>
      </c>
    </row>
    <row r="14" spans="1:10">
      <c r="A14" s="1">
        <v>33239</v>
      </c>
      <c r="B14">
        <v>316.71288842307399</v>
      </c>
      <c r="C14">
        <f t="shared" si="0"/>
        <v>0.12894023412115452</v>
      </c>
      <c r="D14">
        <v>0.14868250489234899</v>
      </c>
      <c r="E14" s="3">
        <f t="shared" si="1"/>
        <v>319.79208565374819</v>
      </c>
      <c r="F14">
        <v>-0.109286159276962</v>
      </c>
      <c r="G14">
        <f t="shared" si="2"/>
        <v>247.97386190901847</v>
      </c>
    </row>
    <row r="15" spans="1:10">
      <c r="A15" s="1">
        <v>33270</v>
      </c>
      <c r="B15">
        <v>342.79340485795399</v>
      </c>
      <c r="C15">
        <f t="shared" si="0"/>
        <v>7.9132298784942101E-2</v>
      </c>
      <c r="D15">
        <v>1.01667903363704E-2</v>
      </c>
      <c r="E15" s="3">
        <f t="shared" si="1"/>
        <v>319.93284195649767</v>
      </c>
      <c r="F15">
        <v>-1.0286420583724899E-2</v>
      </c>
      <c r="G15">
        <f t="shared" si="2"/>
        <v>313.4550464484679</v>
      </c>
    </row>
    <row r="16" spans="1:10">
      <c r="A16" s="1">
        <v>33298</v>
      </c>
      <c r="B16">
        <v>407.42521949459899</v>
      </c>
      <c r="C16">
        <f t="shared" si="0"/>
        <v>0.1727294578970362</v>
      </c>
      <c r="D16">
        <v>0.114120885729789</v>
      </c>
      <c r="E16" s="3">
        <f t="shared" si="1"/>
        <v>381.91329184267386</v>
      </c>
      <c r="F16">
        <v>0.39254274964332497</v>
      </c>
      <c r="G16">
        <f t="shared" si="2"/>
        <v>477.35447056049276</v>
      </c>
    </row>
    <row r="17" spans="1:7">
      <c r="A17" s="1">
        <v>33329</v>
      </c>
      <c r="B17">
        <v>383.10168309136702</v>
      </c>
      <c r="C17">
        <f t="shared" si="0"/>
        <v>-6.1556960353819079E-2</v>
      </c>
      <c r="D17">
        <v>8.1304363906383501E-2</v>
      </c>
      <c r="E17" s="3">
        <f t="shared" si="1"/>
        <v>440.55066780502602</v>
      </c>
      <c r="F17">
        <v>5.6981790810823399E-2</v>
      </c>
      <c r="G17">
        <f t="shared" si="2"/>
        <v>430.64103812289403</v>
      </c>
    </row>
    <row r="18" spans="1:7">
      <c r="A18" s="1">
        <v>33359</v>
      </c>
      <c r="B18">
        <v>407.979924536326</v>
      </c>
      <c r="C18">
        <f t="shared" si="0"/>
        <v>6.2917523581453416E-2</v>
      </c>
      <c r="D18">
        <v>-1.5250985743477899E-3</v>
      </c>
      <c r="E18" s="3">
        <f t="shared" si="1"/>
        <v>382.51741526065416</v>
      </c>
      <c r="F18">
        <v>0.21172104775905601</v>
      </c>
      <c r="G18">
        <f t="shared" si="2"/>
        <v>464.21237283372909</v>
      </c>
    </row>
    <row r="19" spans="1:7">
      <c r="A19" s="1">
        <v>33390</v>
      </c>
      <c r="B19">
        <v>415.10943048116599</v>
      </c>
      <c r="C19">
        <f t="shared" si="0"/>
        <v>1.7324204751828276E-2</v>
      </c>
      <c r="D19">
        <v>4.2901445180177598E-2</v>
      </c>
      <c r="E19" s="3">
        <f t="shared" si="1"/>
        <v>425.48285290343415</v>
      </c>
      <c r="F19">
        <v>-0.14602212607860501</v>
      </c>
      <c r="G19">
        <f t="shared" si="2"/>
        <v>348.40582855814284</v>
      </c>
    </row>
    <row r="20" spans="1:7">
      <c r="A20" s="1">
        <v>33420</v>
      </c>
      <c r="B20">
        <v>487.34503847552702</v>
      </c>
      <c r="C20">
        <f t="shared" si="0"/>
        <v>0.16043019673522263</v>
      </c>
      <c r="D20">
        <v>0.14330744743347101</v>
      </c>
      <c r="E20" s="3">
        <f t="shared" si="1"/>
        <v>474.59770336898379</v>
      </c>
      <c r="F20">
        <v>0.37282839417457497</v>
      </c>
      <c r="G20">
        <f t="shared" si="2"/>
        <v>569.8740128541815</v>
      </c>
    </row>
    <row r="21" spans="1:7">
      <c r="A21" s="1">
        <v>33451</v>
      </c>
      <c r="B21">
        <v>456.52584102118999</v>
      </c>
      <c r="C21">
        <f t="shared" si="0"/>
        <v>-6.5327064842665372E-2</v>
      </c>
      <c r="D21">
        <v>-4.2897138744592597E-2</v>
      </c>
      <c r="E21" s="3">
        <f t="shared" si="1"/>
        <v>466.43933074355351</v>
      </c>
      <c r="F21">
        <v>-0.247197359800338</v>
      </c>
      <c r="G21">
        <f t="shared" si="2"/>
        <v>366.87463165258259</v>
      </c>
    </row>
    <row r="22" spans="1:7">
      <c r="A22" s="1">
        <v>33482</v>
      </c>
      <c r="B22">
        <v>431.68411897523202</v>
      </c>
      <c r="C22">
        <f t="shared" si="0"/>
        <v>-5.595119056342579E-2</v>
      </c>
      <c r="D22">
        <v>3.0979473143815901E-2</v>
      </c>
      <c r="E22" s="3">
        <f t="shared" si="1"/>
        <v>470.6687710525639</v>
      </c>
      <c r="F22">
        <v>5.7587483897805197E-3</v>
      </c>
      <c r="G22">
        <f t="shared" si="2"/>
        <v>459.15485847306394</v>
      </c>
    </row>
    <row r="23" spans="1:7">
      <c r="A23" s="1">
        <v>33512</v>
      </c>
      <c r="B23">
        <v>412.82129981997798</v>
      </c>
      <c r="C23">
        <f t="shared" si="0"/>
        <v>-4.4679303469397524E-2</v>
      </c>
      <c r="D23">
        <v>-0.23545610904693601</v>
      </c>
      <c r="E23" s="3">
        <f t="shared" si="1"/>
        <v>330.04145598396929</v>
      </c>
      <c r="F23">
        <v>0.78104275465011597</v>
      </c>
      <c r="G23">
        <f t="shared" si="2"/>
        <v>768.84787239835566</v>
      </c>
    </row>
    <row r="24" spans="1:7">
      <c r="A24" s="1">
        <v>33543</v>
      </c>
      <c r="B24">
        <v>348.90528506497498</v>
      </c>
      <c r="C24">
        <f t="shared" si="0"/>
        <v>-0.16821431536631692</v>
      </c>
      <c r="D24">
        <v>0.10704993456601999</v>
      </c>
      <c r="E24" s="3">
        <f t="shared" si="1"/>
        <v>457.01379295316593</v>
      </c>
      <c r="F24">
        <v>-1.91846776008605</v>
      </c>
      <c r="G24">
        <f t="shared" si="2"/>
        <v>-379.16305456146688</v>
      </c>
    </row>
    <row r="25" spans="1:7">
      <c r="A25" s="1">
        <v>33573</v>
      </c>
      <c r="B25">
        <v>332.46845675527902</v>
      </c>
      <c r="C25">
        <f t="shared" si="0"/>
        <v>-4.8255507176651058E-2</v>
      </c>
      <c r="D25">
        <v>-0.10043213516473699</v>
      </c>
      <c r="E25" s="3">
        <f t="shared" si="1"/>
        <v>313.86398231563834</v>
      </c>
      <c r="F25">
        <v>0.90858668088912897</v>
      </c>
      <c r="G25">
        <f t="shared" si="2"/>
        <v>665.91597996683595</v>
      </c>
    </row>
    <row r="26" spans="1:7">
      <c r="A26" s="1">
        <v>33604</v>
      </c>
      <c r="B26">
        <v>312.75933139595003</v>
      </c>
      <c r="C26">
        <f t="shared" si="0"/>
        <v>-6.1111003194662672E-2</v>
      </c>
      <c r="D26">
        <v>-1.80004090070724E-2</v>
      </c>
      <c r="E26" s="3">
        <f t="shared" si="1"/>
        <v>326.48388855173386</v>
      </c>
      <c r="F26">
        <v>-9.2545166611671406E-2</v>
      </c>
      <c r="G26">
        <f t="shared" si="2"/>
        <v>301.70010803173648</v>
      </c>
    </row>
    <row r="27" spans="1:7">
      <c r="A27" s="1">
        <v>33635</v>
      </c>
      <c r="B27">
        <v>317.30272261460902</v>
      </c>
      <c r="C27">
        <f t="shared" si="0"/>
        <v>1.4422293621862536E-2</v>
      </c>
      <c r="D27">
        <v>-0.131496161222457</v>
      </c>
      <c r="E27" s="3">
        <f t="shared" si="1"/>
        <v>271.63267993088033</v>
      </c>
      <c r="F27">
        <v>-0.101939864456653</v>
      </c>
      <c r="G27">
        <f t="shared" si="2"/>
        <v>280.87668754589345</v>
      </c>
    </row>
    <row r="28" spans="1:7">
      <c r="A28" s="1">
        <v>33664</v>
      </c>
      <c r="B28">
        <v>326.26390035788501</v>
      </c>
      <c r="C28">
        <f t="shared" si="0"/>
        <v>2.785028506868148E-2</v>
      </c>
      <c r="D28">
        <v>1.4821127988398001E-2</v>
      </c>
      <c r="E28" s="3">
        <f t="shared" si="1"/>
        <v>322.0055068775473</v>
      </c>
      <c r="F28">
        <v>5.9809587895870202E-2</v>
      </c>
      <c r="G28">
        <f t="shared" si="2"/>
        <v>336.28046769242638</v>
      </c>
    </row>
    <row r="29" spans="1:7">
      <c r="A29" s="1">
        <v>33695</v>
      </c>
      <c r="B29">
        <v>382.39683907128699</v>
      </c>
      <c r="C29">
        <f t="shared" si="0"/>
        <v>0.15875235092588902</v>
      </c>
      <c r="D29">
        <v>0.91697591543197599</v>
      </c>
      <c r="E29" s="3">
        <f t="shared" si="1"/>
        <v>625.44003906096361</v>
      </c>
      <c r="F29">
        <v>-3.06096300482749E-2</v>
      </c>
      <c r="G29">
        <f t="shared" si="2"/>
        <v>316.27708306982294</v>
      </c>
    </row>
    <row r="30" spans="1:7">
      <c r="A30" s="1">
        <v>33725</v>
      </c>
      <c r="B30">
        <v>411.48587711943799</v>
      </c>
      <c r="C30">
        <f t="shared" si="0"/>
        <v>7.3315783924657651E-2</v>
      </c>
      <c r="D30">
        <v>1.7041040658950799</v>
      </c>
      <c r="E30" s="3">
        <f t="shared" si="1"/>
        <v>1034.0408473180937</v>
      </c>
      <c r="F30">
        <v>8.0498851835727595E-2</v>
      </c>
      <c r="G30">
        <f t="shared" si="2"/>
        <v>413.17934556213709</v>
      </c>
    </row>
    <row r="31" spans="1:7">
      <c r="A31" s="1">
        <v>33756</v>
      </c>
      <c r="B31">
        <v>394.686854642387</v>
      </c>
      <c r="C31">
        <f t="shared" si="0"/>
        <v>-4.1682021607639008E-2</v>
      </c>
      <c r="D31">
        <v>-2.4036731719970699</v>
      </c>
      <c r="E31" s="3">
        <f t="shared" si="1"/>
        <v>-577.59168636823802</v>
      </c>
      <c r="F31">
        <v>0.16751779615879001</v>
      </c>
      <c r="G31">
        <f t="shared" si="2"/>
        <v>480.4170844049529</v>
      </c>
    </row>
    <row r="32" spans="1:7">
      <c r="A32" s="1">
        <v>33786</v>
      </c>
      <c r="B32">
        <v>369.42381908704999</v>
      </c>
      <c r="C32">
        <f t="shared" si="0"/>
        <v>-6.6148131272892208E-2</v>
      </c>
      <c r="D32">
        <v>-3.6075554788112599E-2</v>
      </c>
      <c r="E32" s="3">
        <f t="shared" si="1"/>
        <v>380.44830739358775</v>
      </c>
      <c r="F32">
        <v>-6.2175594270229298E-2</v>
      </c>
      <c r="G32">
        <f t="shared" si="2"/>
        <v>370.14696490434898</v>
      </c>
    </row>
    <row r="33" spans="1:8">
      <c r="A33" s="1">
        <v>33817</v>
      </c>
      <c r="B33">
        <v>381.909972165135</v>
      </c>
      <c r="C33">
        <f t="shared" si="0"/>
        <v>3.3240359710248413E-2</v>
      </c>
      <c r="D33">
        <v>-2.7679931372404099E-2</v>
      </c>
      <c r="E33" s="3">
        <f t="shared" si="1"/>
        <v>359.198193127389</v>
      </c>
      <c r="F33">
        <v>3.0016554519534101E-2</v>
      </c>
      <c r="G33">
        <f t="shared" si="2"/>
        <v>380.51264929349094</v>
      </c>
    </row>
    <row r="34" spans="1:8">
      <c r="A34" s="1">
        <v>33848</v>
      </c>
      <c r="B34">
        <v>344.75274183507003</v>
      </c>
      <c r="C34">
        <f t="shared" si="0"/>
        <v>-0.10235743611754966</v>
      </c>
      <c r="D34">
        <v>-1.72489210963249E-2</v>
      </c>
      <c r="E34" s="3">
        <f t="shared" si="1"/>
        <v>375.32243718935894</v>
      </c>
      <c r="F34">
        <v>-4.8845358192920602E-2</v>
      </c>
      <c r="G34">
        <f t="shared" si="2"/>
        <v>363.25544277728062</v>
      </c>
    </row>
    <row r="35" spans="1:8">
      <c r="A35" s="1">
        <v>33878</v>
      </c>
      <c r="B35">
        <v>399.04418379993098</v>
      </c>
      <c r="C35">
        <f t="shared" si="0"/>
        <v>0.14624467734678781</v>
      </c>
      <c r="D35">
        <v>6.6952913999557495E-2</v>
      </c>
      <c r="E35" s="3">
        <f t="shared" si="1"/>
        <v>367.83494251026514</v>
      </c>
      <c r="F35">
        <v>3.6939121782779603E-2</v>
      </c>
      <c r="G35">
        <f t="shared" si="2"/>
        <v>357.48760535066288</v>
      </c>
    </row>
    <row r="36" spans="1:8">
      <c r="A36" s="1">
        <v>33909</v>
      </c>
      <c r="B36">
        <v>435.03225605454702</v>
      </c>
      <c r="C36">
        <f t="shared" si="0"/>
        <v>8.634803308937844E-2</v>
      </c>
      <c r="D36">
        <v>-1.3687892816960799E-2</v>
      </c>
      <c r="E36" s="3">
        <f t="shared" si="1"/>
        <v>393.58210978284592</v>
      </c>
      <c r="F36">
        <v>1.8766820430755601E-2</v>
      </c>
      <c r="G36">
        <f t="shared" si="2"/>
        <v>406.5329743412417</v>
      </c>
    </row>
    <row r="37" spans="1:8">
      <c r="A37" s="1">
        <v>33939</v>
      </c>
      <c r="B37">
        <v>421.16213078320499</v>
      </c>
      <c r="C37">
        <f t="shared" si="0"/>
        <v>-3.2402311893359403E-2</v>
      </c>
      <c r="D37">
        <v>8.2314498722553198E-2</v>
      </c>
      <c r="E37" s="3">
        <f t="shared" si="1"/>
        <v>470.84171813981845</v>
      </c>
      <c r="F37">
        <v>7.9873569309711401E-2</v>
      </c>
      <c r="G37">
        <f t="shared" si="2"/>
        <v>469.77983511048001</v>
      </c>
    </row>
    <row r="38" spans="1:8">
      <c r="A38" s="1">
        <v>33970</v>
      </c>
      <c r="B38">
        <v>366.55031776025299</v>
      </c>
      <c r="C38">
        <f t="shared" si="0"/>
        <v>-0.13888206373182399</v>
      </c>
      <c r="D38">
        <v>0.40423080325126598</v>
      </c>
      <c r="E38" s="3">
        <f t="shared" si="1"/>
        <v>591.40883720871466</v>
      </c>
      <c r="F38">
        <v>-5.6051809340715401E-2</v>
      </c>
      <c r="G38">
        <f t="shared" si="2"/>
        <v>397.55523132701535</v>
      </c>
    </row>
    <row r="39" spans="1:8">
      <c r="A39" s="1">
        <v>34001</v>
      </c>
      <c r="B39">
        <v>408.99624414850001</v>
      </c>
      <c r="C39">
        <f t="shared" si="0"/>
        <v>0.10957016842571399</v>
      </c>
      <c r="D39">
        <v>3.1730748713016503E-2</v>
      </c>
      <c r="E39" s="3">
        <f t="shared" si="1"/>
        <v>378.18123378377993</v>
      </c>
      <c r="F39">
        <v>-8.1437006592750497E-3</v>
      </c>
      <c r="G39">
        <f t="shared" si="2"/>
        <v>363.56524169585134</v>
      </c>
    </row>
    <row r="40" spans="1:8">
      <c r="A40" s="1">
        <v>34029</v>
      </c>
      <c r="B40">
        <v>403.83740957149098</v>
      </c>
      <c r="C40">
        <f t="shared" si="0"/>
        <v>-1.269362758956305E-2</v>
      </c>
      <c r="D40">
        <v>-0.49829494953155501</v>
      </c>
      <c r="E40" s="3">
        <f t="shared" si="1"/>
        <v>205.19548131192764</v>
      </c>
      <c r="F40">
        <v>1.8621016060933399E-3</v>
      </c>
      <c r="G40">
        <f t="shared" si="2"/>
        <v>409.75783671161508</v>
      </c>
    </row>
    <row r="41" spans="1:8">
      <c r="A41" s="1">
        <v>34060</v>
      </c>
      <c r="B41">
        <v>443.55418907241801</v>
      </c>
      <c r="C41">
        <f t="shared" si="0"/>
        <v>9.3807633941760393E-2</v>
      </c>
      <c r="D41">
        <v>5.6657616049051202E-2</v>
      </c>
      <c r="E41" s="3">
        <f t="shared" si="1"/>
        <v>426.71787446923594</v>
      </c>
      <c r="F41">
        <v>1.28323305398225E-2</v>
      </c>
      <c r="G41">
        <f t="shared" si="2"/>
        <v>409.01958469545804</v>
      </c>
    </row>
    <row r="42" spans="1:8">
      <c r="A42" s="1">
        <v>34090</v>
      </c>
      <c r="B42">
        <v>393.92768994092802</v>
      </c>
      <c r="C42">
        <f t="shared" si="0"/>
        <v>-0.11865261495594659</v>
      </c>
      <c r="D42">
        <v>-2.2035060450434601E-2</v>
      </c>
      <c r="E42" s="3">
        <f t="shared" si="1"/>
        <v>433.78044570316376</v>
      </c>
      <c r="F42">
        <v>6.9696689024567604E-3</v>
      </c>
      <c r="G42">
        <f t="shared" si="2"/>
        <v>446.64561491055048</v>
      </c>
    </row>
    <row r="43" spans="1:8">
      <c r="A43" s="1">
        <v>34121</v>
      </c>
      <c r="B43">
        <v>374.21173179593001</v>
      </c>
      <c r="C43">
        <f t="shared" si="0"/>
        <v>-5.1345599364634786E-2</v>
      </c>
      <c r="D43">
        <v>-7.5957397930324E-3</v>
      </c>
      <c r="E43" s="3">
        <f t="shared" si="1"/>
        <v>390.93551771086641</v>
      </c>
      <c r="F43">
        <v>7.2248158976435601E-3</v>
      </c>
      <c r="G43">
        <f t="shared" si="2"/>
        <v>396.77374497773525</v>
      </c>
    </row>
    <row r="44" spans="1:8">
      <c r="A44" s="1">
        <v>34151</v>
      </c>
      <c r="B44">
        <v>374.25821939000002</v>
      </c>
      <c r="C44">
        <f t="shared" si="0"/>
        <v>1.242203352482818E-4</v>
      </c>
      <c r="D44">
        <v>-0.446495860815048</v>
      </c>
      <c r="E44" s="3">
        <f t="shared" si="1"/>
        <v>207.12774248061638</v>
      </c>
      <c r="F44">
        <v>-6.7318573594093295E-2</v>
      </c>
      <c r="G44">
        <f t="shared" si="2"/>
        <v>349.02033178925257</v>
      </c>
    </row>
    <row r="45" spans="1:8">
      <c r="A45" s="1">
        <v>34182</v>
      </c>
      <c r="B45">
        <v>375.90428893997802</v>
      </c>
      <c r="C45">
        <f t="shared" si="0"/>
        <v>4.3885749383205663E-3</v>
      </c>
      <c r="D45">
        <v>0.213060662150383</v>
      </c>
      <c r="E45" s="3">
        <f t="shared" si="1"/>
        <v>453.99792342845672</v>
      </c>
      <c r="F45">
        <v>9.4595223665237399E-2</v>
      </c>
      <c r="G45">
        <f t="shared" si="2"/>
        <v>409.66125936175058</v>
      </c>
      <c r="H45" s="3"/>
    </row>
    <row r="46" spans="1:8">
      <c r="A46" s="1">
        <v>34213</v>
      </c>
      <c r="B46">
        <v>360.63006639757498</v>
      </c>
      <c r="C46">
        <f t="shared" si="0"/>
        <v>-4.1481874195058666E-2</v>
      </c>
      <c r="D46">
        <v>0.146489933133125</v>
      </c>
      <c r="E46" s="3">
        <f t="shared" si="1"/>
        <v>430.97048309125029</v>
      </c>
      <c r="F46">
        <v>-0.11422191560268399</v>
      </c>
      <c r="G46">
        <f t="shared" si="2"/>
        <v>332.96778097398891</v>
      </c>
    </row>
    <row r="47" spans="1:8">
      <c r="A47" s="1">
        <v>34243</v>
      </c>
      <c r="B47">
        <v>378.55338038670601</v>
      </c>
      <c r="C47">
        <f t="shared" si="0"/>
        <v>4.8504408238519758E-2</v>
      </c>
      <c r="D47">
        <v>-9.0848365798592498E-3</v>
      </c>
      <c r="E47" s="3">
        <f t="shared" si="1"/>
        <v>357.3538011785692</v>
      </c>
      <c r="F47">
        <v>3.5823352634906699E-2</v>
      </c>
      <c r="G47">
        <f t="shared" si="2"/>
        <v>373.54904443688514</v>
      </c>
    </row>
    <row r="48" spans="1:8">
      <c r="A48" s="1">
        <v>34274</v>
      </c>
      <c r="B48">
        <v>350.105044274725</v>
      </c>
      <c r="C48">
        <f t="shared" si="0"/>
        <v>-7.8123858384556044E-2</v>
      </c>
      <c r="D48">
        <v>-2.6811150833964299E-2</v>
      </c>
      <c r="E48" s="3">
        <f t="shared" si="1"/>
        <v>368.40392860645096</v>
      </c>
      <c r="F48">
        <v>-9.1967200860381092E-3</v>
      </c>
      <c r="G48">
        <f t="shared" si="2"/>
        <v>375.07193090966598</v>
      </c>
    </row>
    <row r="49" spans="1:7">
      <c r="A49" s="1">
        <v>34304</v>
      </c>
      <c r="B49">
        <v>342.23968369298899</v>
      </c>
      <c r="C49">
        <f t="shared" si="0"/>
        <v>-2.2721914845778457E-2</v>
      </c>
      <c r="D49">
        <v>-6.8015314172953302E-4</v>
      </c>
      <c r="E49" s="3">
        <f t="shared" si="1"/>
        <v>349.86691922892618</v>
      </c>
      <c r="F49">
        <v>-6.3202776014804798E-2</v>
      </c>
      <c r="G49">
        <f t="shared" si="2"/>
        <v>327.97743357977623</v>
      </c>
    </row>
    <row r="50" spans="1:7">
      <c r="A50" s="1">
        <v>34335</v>
      </c>
      <c r="B50">
        <v>347.86242632329402</v>
      </c>
      <c r="C50">
        <f t="shared" si="0"/>
        <v>1.6295753847143324E-2</v>
      </c>
      <c r="D50">
        <v>2.94499956071376E-2</v>
      </c>
      <c r="E50" s="3">
        <f t="shared" si="1"/>
        <v>352.3186408743357</v>
      </c>
      <c r="F50">
        <v>9.7033511847257597E-3</v>
      </c>
      <c r="G50">
        <f t="shared" si="2"/>
        <v>345.56055553321153</v>
      </c>
    </row>
    <row r="51" spans="1:7">
      <c r="A51" s="1">
        <v>34366</v>
      </c>
      <c r="B51">
        <v>362.50521472166702</v>
      </c>
      <c r="C51">
        <f t="shared" si="0"/>
        <v>4.1231784675251681E-2</v>
      </c>
      <c r="D51">
        <v>-1.75266875885427E-3</v>
      </c>
      <c r="E51" s="3">
        <f t="shared" si="1"/>
        <v>347.25273871629793</v>
      </c>
      <c r="F51">
        <v>6.0290093533694701E-3</v>
      </c>
      <c r="G51">
        <f t="shared" si="2"/>
        <v>349.95969214528293</v>
      </c>
    </row>
    <row r="52" spans="1:7">
      <c r="A52" s="1">
        <v>34394</v>
      </c>
      <c r="B52">
        <v>381.820068542684</v>
      </c>
      <c r="C52">
        <f t="shared" si="0"/>
        <v>5.1910613251854087E-2</v>
      </c>
      <c r="D52">
        <v>-8.0122193321585603E-3</v>
      </c>
      <c r="E52" s="3">
        <f t="shared" si="1"/>
        <v>359.6007434322658</v>
      </c>
      <c r="F52">
        <v>3.9527481421828201E-3</v>
      </c>
      <c r="G52">
        <f t="shared" si="2"/>
        <v>363.93810653568966</v>
      </c>
    </row>
    <row r="53" spans="1:7">
      <c r="A53" s="1">
        <v>34425</v>
      </c>
      <c r="B53">
        <v>351.93409732110399</v>
      </c>
      <c r="C53">
        <f t="shared" si="0"/>
        <v>-8.1505538332200977E-2</v>
      </c>
      <c r="D53">
        <v>-6.44569993019104E-2</v>
      </c>
      <c r="E53" s="3">
        <f t="shared" si="1"/>
        <v>357.20909265117285</v>
      </c>
      <c r="F53">
        <v>-5.1556522957980598E-3</v>
      </c>
      <c r="G53">
        <f t="shared" si="2"/>
        <v>379.85153702972013</v>
      </c>
    </row>
    <row r="54" spans="1:7">
      <c r="A54" s="1">
        <v>34455</v>
      </c>
      <c r="B54">
        <v>307.65311308344701</v>
      </c>
      <c r="C54">
        <f t="shared" si="0"/>
        <v>-0.13447104250213826</v>
      </c>
      <c r="D54">
        <v>-9.1831259429454803E-2</v>
      </c>
      <c r="E54" s="3">
        <f t="shared" si="1"/>
        <v>319.61554592793868</v>
      </c>
      <c r="F54">
        <v>-9.4441413879394503E-2</v>
      </c>
      <c r="G54">
        <f t="shared" si="2"/>
        <v>318.69694357773051</v>
      </c>
    </row>
    <row r="55" spans="1:7">
      <c r="A55" s="1">
        <v>34486</v>
      </c>
      <c r="B55">
        <v>343.098796907549</v>
      </c>
      <c r="C55">
        <f t="shared" si="0"/>
        <v>0.10904555127454696</v>
      </c>
      <c r="D55">
        <v>7.0787899196147905E-2</v>
      </c>
      <c r="E55" s="3">
        <f t="shared" si="1"/>
        <v>329.43123063977913</v>
      </c>
      <c r="F55">
        <v>1.40967145562171E-2</v>
      </c>
      <c r="G55">
        <f t="shared" si="2"/>
        <v>311.99001120091594</v>
      </c>
    </row>
    <row r="56" spans="1:7">
      <c r="A56" s="1">
        <v>34516</v>
      </c>
      <c r="B56">
        <v>351.01920754699898</v>
      </c>
      <c r="C56">
        <f t="shared" si="0"/>
        <v>2.2822501002370821E-2</v>
      </c>
      <c r="D56">
        <v>1.8055576831102298E-2</v>
      </c>
      <c r="E56" s="3">
        <f t="shared" si="1"/>
        <v>349.29364359577204</v>
      </c>
      <c r="F56">
        <v>-0.16088084876537301</v>
      </c>
      <c r="G56">
        <f t="shared" si="2"/>
        <v>287.90077125068416</v>
      </c>
    </row>
    <row r="57" spans="1:7">
      <c r="A57" s="1">
        <v>34547</v>
      </c>
      <c r="B57">
        <v>328.98477865866499</v>
      </c>
      <c r="C57">
        <f t="shared" si="0"/>
        <v>-6.48294601048649E-2</v>
      </c>
      <c r="D57">
        <v>-2.8779996559023802E-2</v>
      </c>
      <c r="E57" s="3">
        <f t="shared" si="1"/>
        <v>340.91687596164508</v>
      </c>
      <c r="F57">
        <v>2.8986935503780798E-3</v>
      </c>
      <c r="G57">
        <f t="shared" si="2"/>
        <v>352.0367046599743</v>
      </c>
    </row>
    <row r="58" spans="1:7">
      <c r="A58" s="1">
        <v>34578</v>
      </c>
      <c r="B58">
        <v>376.03975701407097</v>
      </c>
      <c r="C58">
        <f t="shared" si="0"/>
        <v>0.13368339031980003</v>
      </c>
      <c r="D58">
        <v>6.2571622431278201E-2</v>
      </c>
      <c r="E58" s="3">
        <f t="shared" si="1"/>
        <v>349.56989001453263</v>
      </c>
      <c r="F58">
        <v>0.20982934534549699</v>
      </c>
      <c r="G58">
        <f t="shared" si="2"/>
        <v>398.01543939324591</v>
      </c>
    </row>
    <row r="59" spans="1:7">
      <c r="A59" s="1">
        <v>34608</v>
      </c>
      <c r="B59">
        <v>378.26671092054403</v>
      </c>
      <c r="C59">
        <f t="shared" si="0"/>
        <v>5.9046567180862652E-3</v>
      </c>
      <c r="D59">
        <v>-0.119792304933071</v>
      </c>
      <c r="E59" s="3">
        <f t="shared" si="1"/>
        <v>330.99308777488346</v>
      </c>
      <c r="F59">
        <v>1.8218414857983499E-2</v>
      </c>
      <c r="G59">
        <f t="shared" si="2"/>
        <v>382.89060531044862</v>
      </c>
    </row>
    <row r="60" spans="1:7">
      <c r="A60" s="1">
        <v>34639</v>
      </c>
      <c r="B60">
        <v>415.245231096373</v>
      </c>
      <c r="C60">
        <f t="shared" si="0"/>
        <v>9.3269732753944012E-2</v>
      </c>
      <c r="D60">
        <v>0.18114385008811901</v>
      </c>
      <c r="E60" s="3">
        <f t="shared" si="1"/>
        <v>446.78739929686094</v>
      </c>
      <c r="F60">
        <v>5.59530453756451E-3</v>
      </c>
      <c r="G60">
        <f t="shared" si="2"/>
        <v>380.38322836456734</v>
      </c>
    </row>
    <row r="61" spans="1:7">
      <c r="A61" s="1">
        <v>34669</v>
      </c>
      <c r="B61">
        <v>417.14092170573099</v>
      </c>
      <c r="C61">
        <f t="shared" si="0"/>
        <v>4.554842437975104E-3</v>
      </c>
      <c r="D61">
        <v>7.5278602540492998E-2</v>
      </c>
      <c r="E61" s="3">
        <f t="shared" si="1"/>
        <v>446.50431180491205</v>
      </c>
      <c r="F61">
        <v>0.11281643807888</v>
      </c>
      <c r="G61">
        <f t="shared" si="2"/>
        <v>462.09171899790721</v>
      </c>
    </row>
    <row r="62" spans="1:7">
      <c r="A62" s="1">
        <v>34700</v>
      </c>
      <c r="B62">
        <v>486.11758359783698</v>
      </c>
      <c r="C62">
        <f t="shared" si="0"/>
        <v>0.15302642974697456</v>
      </c>
      <c r="D62">
        <v>0.42890056967735202</v>
      </c>
      <c r="E62" s="3">
        <f t="shared" si="1"/>
        <v>596.05290066105476</v>
      </c>
      <c r="F62">
        <v>0.35143879055976801</v>
      </c>
      <c r="G62">
        <f t="shared" si="2"/>
        <v>563.74042272297993</v>
      </c>
    </row>
    <row r="63" spans="1:7">
      <c r="A63" s="1">
        <v>34731</v>
      </c>
      <c r="B63">
        <v>552.44212389407198</v>
      </c>
      <c r="C63">
        <f t="shared" si="0"/>
        <v>0.12789813857532462</v>
      </c>
      <c r="D63">
        <v>1.0715748071670499</v>
      </c>
      <c r="E63" s="3">
        <f t="shared" si="1"/>
        <v>1007.0289395022014</v>
      </c>
      <c r="F63">
        <v>-5.0878059118986102E-2</v>
      </c>
      <c r="G63">
        <f t="shared" si="2"/>
        <v>461.38486444076756</v>
      </c>
    </row>
    <row r="64" spans="1:7">
      <c r="A64" s="1">
        <v>34759</v>
      </c>
      <c r="B64">
        <v>543.75231744834196</v>
      </c>
      <c r="C64">
        <f t="shared" si="0"/>
        <v>-1.5854830404240516E-2</v>
      </c>
      <c r="D64">
        <v>-1.23274803161621</v>
      </c>
      <c r="E64" s="3">
        <f t="shared" si="1"/>
        <v>-128.57981691822374</v>
      </c>
      <c r="F64">
        <v>-3.2833393663167898E-2</v>
      </c>
      <c r="G64">
        <f t="shared" si="2"/>
        <v>534.30357416414131</v>
      </c>
    </row>
    <row r="65" spans="1:8">
      <c r="A65" s="1">
        <v>34790</v>
      </c>
      <c r="B65">
        <v>580.08047763089098</v>
      </c>
      <c r="C65">
        <f t="shared" si="0"/>
        <v>6.4673004083189767E-2</v>
      </c>
      <c r="D65">
        <v>-0.24001500010490401</v>
      </c>
      <c r="E65" s="3">
        <f t="shared" si="1"/>
        <v>413.2436049189364</v>
      </c>
      <c r="F65">
        <v>-1.1195983970537699E-3</v>
      </c>
      <c r="G65">
        <f t="shared" si="2"/>
        <v>543.14353322533248</v>
      </c>
      <c r="H65" s="3"/>
    </row>
    <row r="66" spans="1:8">
      <c r="A66" s="1">
        <v>34820</v>
      </c>
      <c r="B66">
        <v>607.56264862619798</v>
      </c>
      <c r="C66">
        <f t="shared" si="0"/>
        <v>4.6288446757304591E-2</v>
      </c>
      <c r="D66">
        <v>8.8200166821479797E-2</v>
      </c>
      <c r="E66" s="3">
        <f t="shared" si="1"/>
        <v>631.24367252781929</v>
      </c>
      <c r="F66">
        <v>0.24722708761692</v>
      </c>
      <c r="G66">
        <f t="shared" si="2"/>
        <v>723.49208469900805</v>
      </c>
      <c r="H66" s="3"/>
    </row>
    <row r="67" spans="1:8">
      <c r="A67" s="1">
        <v>34851</v>
      </c>
      <c r="B67">
        <v>659.39758114832898</v>
      </c>
      <c r="C67">
        <f t="shared" si="0"/>
        <v>8.1871367161077124E-2</v>
      </c>
      <c r="D67">
        <v>0.30651247501373202</v>
      </c>
      <c r="E67" s="3">
        <f t="shared" si="1"/>
        <v>793.78817978251232</v>
      </c>
      <c r="F67">
        <v>-9.1409839689731598E-2</v>
      </c>
      <c r="G67">
        <f t="shared" si="2"/>
        <v>552.02544431380852</v>
      </c>
    </row>
    <row r="68" spans="1:8">
      <c r="A68" s="1">
        <v>34881</v>
      </c>
      <c r="B68">
        <v>621.30545186183997</v>
      </c>
      <c r="C68">
        <f t="shared" ref="C68:C131" si="3">LN(B68)-LN(B67)</f>
        <v>-5.9503830411687275E-2</v>
      </c>
      <c r="D68">
        <v>-0.18575082719326</v>
      </c>
      <c r="E68" s="3">
        <f t="shared" si="1"/>
        <v>536.91393500079209</v>
      </c>
      <c r="F68">
        <v>1.8469223752617801E-2</v>
      </c>
      <c r="G68">
        <f t="shared" si="2"/>
        <v>671.57614261649246</v>
      </c>
    </row>
    <row r="69" spans="1:8">
      <c r="A69" s="1">
        <v>34912</v>
      </c>
      <c r="B69">
        <v>649.98146989262204</v>
      </c>
      <c r="C69">
        <f t="shared" si="3"/>
        <v>4.5121022668163313E-2</v>
      </c>
      <c r="D69">
        <v>-5.3919363766908597E-2</v>
      </c>
      <c r="E69" s="3">
        <f t="shared" ref="E69:E132" si="4">B68*D69+B68</f>
        <v>587.8050571925379</v>
      </c>
      <c r="F69">
        <v>3.0766710638999901E-2</v>
      </c>
      <c r="G69">
        <f t="shared" si="2"/>
        <v>640.4209769177063</v>
      </c>
    </row>
    <row r="70" spans="1:8">
      <c r="A70" s="1">
        <v>34943</v>
      </c>
      <c r="B70">
        <v>693.76183871733804</v>
      </c>
      <c r="C70">
        <f t="shared" si="3"/>
        <v>6.5184875107004991E-2</v>
      </c>
      <c r="D70">
        <v>0.301602512598037</v>
      </c>
      <c r="E70" s="3">
        <f t="shared" si="4"/>
        <v>846.01751435440224</v>
      </c>
      <c r="F70">
        <v>1.2696383520960801E-2</v>
      </c>
      <c r="G70">
        <f t="shared" si="2"/>
        <v>658.23388391589663</v>
      </c>
    </row>
    <row r="71" spans="1:8">
      <c r="A71" s="1">
        <v>34973</v>
      </c>
      <c r="B71">
        <v>619.93809546800105</v>
      </c>
      <c r="C71">
        <f t="shared" si="3"/>
        <v>-0.1125091026979872</v>
      </c>
      <c r="D71">
        <v>-4.9265626817941603E-2</v>
      </c>
      <c r="E71" s="3">
        <f t="shared" si="4"/>
        <v>659.58322687056068</v>
      </c>
      <c r="F71">
        <v>-8.8286370038986206E-2</v>
      </c>
      <c r="G71">
        <f t="shared" ref="G71:G134" si="5">B70*F71+B70</f>
        <v>632.5121243054117</v>
      </c>
    </row>
    <row r="72" spans="1:8">
      <c r="A72" s="1">
        <v>35004</v>
      </c>
      <c r="B72">
        <v>571.83383517414404</v>
      </c>
      <c r="C72">
        <f t="shared" si="3"/>
        <v>-8.0771175805043782E-2</v>
      </c>
      <c r="D72">
        <v>-3.2677948474883999E-2</v>
      </c>
      <c r="E72" s="3">
        <f t="shared" si="4"/>
        <v>599.67979032667995</v>
      </c>
      <c r="F72">
        <v>-2.4694247171282699E-2</v>
      </c>
      <c r="G72">
        <f t="shared" si="5"/>
        <v>604.62919090762</v>
      </c>
    </row>
    <row r="73" spans="1:8">
      <c r="A73" s="1">
        <v>35034</v>
      </c>
      <c r="B73">
        <v>498.12786528052698</v>
      </c>
      <c r="C73">
        <f t="shared" si="3"/>
        <v>-0.13799164957031174</v>
      </c>
      <c r="D73">
        <v>-6.8904243409633595E-2</v>
      </c>
      <c r="E73" s="3">
        <f t="shared" si="4"/>
        <v>532.43205740544056</v>
      </c>
      <c r="F73">
        <v>-3.7867214530706399E-2</v>
      </c>
      <c r="G73">
        <f t="shared" si="5"/>
        <v>550.18008066168818</v>
      </c>
    </row>
    <row r="74" spans="1:8">
      <c r="A74" s="1">
        <v>35065</v>
      </c>
      <c r="B74">
        <v>488.23867917061898</v>
      </c>
      <c r="C74">
        <f t="shared" si="3"/>
        <v>-2.0052418714017861E-2</v>
      </c>
      <c r="D74">
        <v>-3.6815986037254299E-2</v>
      </c>
      <c r="E74" s="3">
        <f t="shared" si="4"/>
        <v>479.78879674759179</v>
      </c>
      <c r="F74">
        <v>-2.8490707278251599E-2</v>
      </c>
      <c r="G74">
        <f t="shared" si="5"/>
        <v>483.93585008367916</v>
      </c>
      <c r="H74" s="3"/>
    </row>
    <row r="75" spans="1:8">
      <c r="A75" s="1">
        <v>35096</v>
      </c>
      <c r="B75">
        <v>516.07562660349697</v>
      </c>
      <c r="C75">
        <f t="shared" si="3"/>
        <v>5.5448934981834341E-2</v>
      </c>
      <c r="D75">
        <v>-6.9823451340198503E-2</v>
      </c>
      <c r="E75" s="3">
        <f t="shared" si="4"/>
        <v>454.14816951314646</v>
      </c>
      <c r="F75">
        <v>-2.4232279509305898E-2</v>
      </c>
      <c r="G75">
        <f t="shared" si="5"/>
        <v>476.4075430297022</v>
      </c>
    </row>
    <row r="76" spans="1:8">
      <c r="A76" s="1">
        <v>35125</v>
      </c>
      <c r="B76">
        <v>572.26684607715595</v>
      </c>
      <c r="C76">
        <f t="shared" si="3"/>
        <v>0.10335207878951902</v>
      </c>
      <c r="D76">
        <v>3.7228878587484297E-2</v>
      </c>
      <c r="E76" s="3">
        <f t="shared" si="4"/>
        <v>535.28854344827846</v>
      </c>
      <c r="F76">
        <v>-1.6687570139765701E-2</v>
      </c>
      <c r="G76">
        <f t="shared" si="5"/>
        <v>507.4635783871276</v>
      </c>
    </row>
    <row r="77" spans="1:8">
      <c r="A77" s="1">
        <v>35156</v>
      </c>
      <c r="B77">
        <v>575.92053205166997</v>
      </c>
      <c r="C77">
        <f t="shared" si="3"/>
        <v>6.3642892729269818E-3</v>
      </c>
      <c r="D77">
        <v>0.12067187577485999</v>
      </c>
      <c r="E77" s="3">
        <f t="shared" si="4"/>
        <v>641.32335983704945</v>
      </c>
      <c r="F77">
        <v>5.8118071407079697E-2</v>
      </c>
      <c r="G77">
        <f t="shared" si="5"/>
        <v>605.52589150137237</v>
      </c>
    </row>
    <row r="78" spans="1:8">
      <c r="A78" s="1">
        <v>35186</v>
      </c>
      <c r="B78">
        <v>639.99515919793998</v>
      </c>
      <c r="C78">
        <f t="shared" si="3"/>
        <v>0.10549092658214754</v>
      </c>
      <c r="D78">
        <v>7.01047629117965E-2</v>
      </c>
      <c r="E78" s="3">
        <f t="shared" si="4"/>
        <v>616.29530440718804</v>
      </c>
      <c r="F78">
        <v>3.4825168550014399E-2</v>
      </c>
      <c r="G78">
        <f t="shared" si="5"/>
        <v>595.97706165178329</v>
      </c>
    </row>
    <row r="79" spans="1:8">
      <c r="A79" s="1">
        <v>35217</v>
      </c>
      <c r="B79">
        <v>583.47635055641797</v>
      </c>
      <c r="C79">
        <f t="shared" si="3"/>
        <v>-9.2456691989849737E-2</v>
      </c>
      <c r="D79">
        <v>-5.8586459606885903E-2</v>
      </c>
      <c r="E79" s="3">
        <f t="shared" si="4"/>
        <v>602.50010865498734</v>
      </c>
      <c r="F79">
        <v>3.9246935397386502E-2</v>
      </c>
      <c r="G79">
        <f t="shared" si="5"/>
        <v>665.11300786562163</v>
      </c>
    </row>
    <row r="80" spans="1:8">
      <c r="A80" s="1">
        <v>35247</v>
      </c>
      <c r="B80">
        <v>517.06087349436098</v>
      </c>
      <c r="C80">
        <f t="shared" si="3"/>
        <v>-0.12084330930203446</v>
      </c>
      <c r="D80">
        <v>-7.0363171398639596E-2</v>
      </c>
      <c r="E80" s="3">
        <f t="shared" si="4"/>
        <v>542.42110409516397</v>
      </c>
      <c r="F80">
        <v>-3.36571177467703E-3</v>
      </c>
      <c r="G80">
        <f t="shared" si="5"/>
        <v>581.51253733310466</v>
      </c>
    </row>
    <row r="81" spans="1:8">
      <c r="A81" s="1">
        <v>35278</v>
      </c>
      <c r="B81">
        <v>513.908851563398</v>
      </c>
      <c r="C81">
        <f t="shared" si="3"/>
        <v>-6.1146931386693026E-3</v>
      </c>
      <c r="D81">
        <v>-4.9634549766778897E-2</v>
      </c>
      <c r="E81" s="3">
        <f t="shared" si="4"/>
        <v>491.39678983645092</v>
      </c>
      <c r="F81">
        <v>-5.2249733358621597E-2</v>
      </c>
      <c r="G81">
        <f t="shared" si="5"/>
        <v>490.04458072410466</v>
      </c>
    </row>
    <row r="82" spans="1:8">
      <c r="A82" s="1">
        <v>35309</v>
      </c>
      <c r="B82">
        <v>529.50615728185903</v>
      </c>
      <c r="C82">
        <f t="shared" si="3"/>
        <v>2.9898875315719664E-2</v>
      </c>
      <c r="D82">
        <v>-2.2460309788584699E-2</v>
      </c>
      <c r="E82" s="3">
        <f t="shared" si="4"/>
        <v>502.36629955418829</v>
      </c>
      <c r="F82">
        <v>-8.6842581629753099E-2</v>
      </c>
      <c r="G82">
        <f t="shared" si="5"/>
        <v>469.27968017125096</v>
      </c>
    </row>
    <row r="83" spans="1:8">
      <c r="A83" s="1">
        <v>35339</v>
      </c>
      <c r="B83">
        <v>529.12331825215699</v>
      </c>
      <c r="C83">
        <f t="shared" si="3"/>
        <v>-7.2327297744667618E-4</v>
      </c>
      <c r="D83">
        <v>4.8633020371198599E-2</v>
      </c>
      <c r="E83" s="3">
        <f t="shared" si="4"/>
        <v>555.25764101562277</v>
      </c>
      <c r="F83">
        <v>-1.4322193339467E-2</v>
      </c>
      <c r="G83">
        <f t="shared" si="5"/>
        <v>521.92246772282999</v>
      </c>
    </row>
    <row r="84" spans="1:8">
      <c r="A84" s="1">
        <v>35370</v>
      </c>
      <c r="B84">
        <v>453.94550199089798</v>
      </c>
      <c r="C84">
        <f t="shared" si="3"/>
        <v>-0.15324436931122776</v>
      </c>
      <c r="D84">
        <v>-7.6447337865829398E-2</v>
      </c>
      <c r="E84" s="3">
        <f t="shared" si="4"/>
        <v>488.67324916904556</v>
      </c>
      <c r="F84">
        <v>-3.8508713245391797E-2</v>
      </c>
      <c r="G84">
        <f t="shared" si="5"/>
        <v>508.74746011813448</v>
      </c>
    </row>
    <row r="85" spans="1:8">
      <c r="A85" s="1">
        <v>35400</v>
      </c>
      <c r="B85">
        <v>451.06233629273498</v>
      </c>
      <c r="C85">
        <f t="shared" si="3"/>
        <v>-6.3716032729468353E-3</v>
      </c>
      <c r="D85">
        <v>-5.6617312133312198E-2</v>
      </c>
      <c r="E85" s="3">
        <f t="shared" si="4"/>
        <v>428.24432781316619</v>
      </c>
      <c r="F85">
        <v>-3.1600721180438898E-2</v>
      </c>
      <c r="G85">
        <f t="shared" si="5"/>
        <v>439.60049675136923</v>
      </c>
    </row>
    <row r="86" spans="1:8">
      <c r="A86" s="1">
        <v>35431</v>
      </c>
      <c r="B86">
        <v>408.378558645206</v>
      </c>
      <c r="C86">
        <f t="shared" si="3"/>
        <v>-9.9410963851887857E-2</v>
      </c>
      <c r="D86">
        <v>0.14054650068283001</v>
      </c>
      <c r="E86" s="3">
        <f t="shared" si="4"/>
        <v>514.4575692485007</v>
      </c>
      <c r="F86">
        <v>7.8336305916309301E-2</v>
      </c>
      <c r="G86">
        <f t="shared" si="5"/>
        <v>486.39689345588783</v>
      </c>
    </row>
    <row r="87" spans="1:8">
      <c r="A87" s="1">
        <v>35462</v>
      </c>
      <c r="B87">
        <v>430.51301886894498</v>
      </c>
      <c r="C87">
        <f t="shared" si="3"/>
        <v>5.2782980642110289E-2</v>
      </c>
      <c r="D87">
        <v>-0.135469585657119</v>
      </c>
      <c r="E87" s="3">
        <f t="shared" si="4"/>
        <v>353.05568451428849</v>
      </c>
      <c r="F87">
        <v>-4.98478412628173E-2</v>
      </c>
      <c r="G87">
        <f t="shared" si="5"/>
        <v>388.02176907872166</v>
      </c>
    </row>
    <row r="88" spans="1:8">
      <c r="A88" s="1">
        <v>35490</v>
      </c>
      <c r="B88">
        <v>441.65884578179799</v>
      </c>
      <c r="C88">
        <f t="shared" si="3"/>
        <v>2.5560177245916194E-2</v>
      </c>
      <c r="D88">
        <v>-0.118346109986305</v>
      </c>
      <c r="E88" s="3">
        <f t="shared" si="4"/>
        <v>379.5634777873446</v>
      </c>
      <c r="F88">
        <v>-0.141757667064666</v>
      </c>
      <c r="G88">
        <f t="shared" si="5"/>
        <v>369.48449767311683</v>
      </c>
      <c r="H88" s="3"/>
    </row>
    <row r="89" spans="1:8">
      <c r="A89" s="1">
        <v>35521</v>
      </c>
      <c r="B89">
        <v>412.766003206275</v>
      </c>
      <c r="C89">
        <f t="shared" si="3"/>
        <v>-6.7656887729659054E-2</v>
      </c>
      <c r="D89">
        <v>-2.2633744403719899E-2</v>
      </c>
      <c r="E89" s="3">
        <f t="shared" si="4"/>
        <v>431.66245235273084</v>
      </c>
      <c r="F89">
        <v>-2.9540183022618198E-3</v>
      </c>
      <c r="G89">
        <f t="shared" si="5"/>
        <v>440.35417746800272</v>
      </c>
    </row>
    <row r="90" spans="1:8">
      <c r="A90" s="1">
        <v>35551</v>
      </c>
      <c r="B90">
        <v>394.55828614914498</v>
      </c>
      <c r="C90">
        <f t="shared" si="3"/>
        <v>-4.5113977936850347E-2</v>
      </c>
      <c r="D90">
        <v>-4.23387810587883E-2</v>
      </c>
      <c r="E90" s="3">
        <f t="shared" si="4"/>
        <v>395.2899937680134</v>
      </c>
      <c r="F90">
        <v>-0.12584577500820099</v>
      </c>
      <c r="G90">
        <f t="shared" si="5"/>
        <v>360.82114563574373</v>
      </c>
    </row>
    <row r="91" spans="1:8">
      <c r="A91" s="1">
        <v>35582</v>
      </c>
      <c r="B91">
        <v>363.89177370886199</v>
      </c>
      <c r="C91">
        <f t="shared" si="3"/>
        <v>-8.0910377813814272E-2</v>
      </c>
      <c r="D91">
        <v>-2.4274894967675199E-2</v>
      </c>
      <c r="E91" s="3">
        <f t="shared" si="4"/>
        <v>384.98042519424854</v>
      </c>
      <c r="F91">
        <v>3.9552379399537999E-2</v>
      </c>
      <c r="G91">
        <f t="shared" si="5"/>
        <v>410.16400517814742</v>
      </c>
    </row>
    <row r="92" spans="1:8">
      <c r="A92" s="1">
        <v>35612</v>
      </c>
      <c r="B92">
        <v>362.82614051745901</v>
      </c>
      <c r="C92">
        <f t="shared" si="3"/>
        <v>-2.9327306629616245E-3</v>
      </c>
      <c r="D92">
        <v>7.2993864305317402E-3</v>
      </c>
      <c r="E92" s="3">
        <f t="shared" si="4"/>
        <v>366.54796038405459</v>
      </c>
      <c r="F92">
        <v>-1.7622398212552001E-2</v>
      </c>
      <c r="G92">
        <f t="shared" si="5"/>
        <v>357.47912796629254</v>
      </c>
    </row>
    <row r="93" spans="1:8">
      <c r="A93" s="1">
        <v>35643</v>
      </c>
      <c r="B93">
        <v>392.61931447849099</v>
      </c>
      <c r="C93">
        <f t="shared" si="3"/>
        <v>7.8916709172270672E-2</v>
      </c>
      <c r="D93">
        <v>1.46885933354496E-2</v>
      </c>
      <c r="E93" s="3">
        <f t="shared" si="4"/>
        <v>368.15554614699067</v>
      </c>
      <c r="F93">
        <v>-1.63623318076133E-2</v>
      </c>
      <c r="G93">
        <f t="shared" si="5"/>
        <v>356.88945881783661</v>
      </c>
    </row>
    <row r="94" spans="1:8">
      <c r="A94" s="1">
        <v>35674</v>
      </c>
      <c r="B94">
        <v>360.80864263269302</v>
      </c>
      <c r="C94">
        <f t="shared" si="3"/>
        <v>-8.449273497724441E-2</v>
      </c>
      <c r="D94">
        <v>-7.0052035152912098E-2</v>
      </c>
      <c r="E94" s="3">
        <f t="shared" si="4"/>
        <v>365.11553245893151</v>
      </c>
      <c r="F94">
        <v>-1.40793239697813E-2</v>
      </c>
      <c r="G94">
        <f t="shared" si="5"/>
        <v>387.09149995315488</v>
      </c>
    </row>
    <row r="95" spans="1:8">
      <c r="A95" s="1">
        <v>35704</v>
      </c>
      <c r="B95">
        <v>375.54564388490297</v>
      </c>
      <c r="C95">
        <f t="shared" si="3"/>
        <v>4.0032276786804211E-2</v>
      </c>
      <c r="D95">
        <v>-3.5520533565431799E-3</v>
      </c>
      <c r="E95" s="3">
        <f t="shared" si="4"/>
        <v>359.5270310825598</v>
      </c>
      <c r="F95">
        <v>-1.9964579492807302E-2</v>
      </c>
      <c r="G95">
        <f t="shared" si="5"/>
        <v>353.60524980516072</v>
      </c>
      <c r="H95" s="3"/>
    </row>
    <row r="96" spans="1:8">
      <c r="A96" s="1">
        <v>35735</v>
      </c>
      <c r="B96">
        <v>358.93207622646997</v>
      </c>
      <c r="C96">
        <f t="shared" si="3"/>
        <v>-4.5246850894717028E-2</v>
      </c>
      <c r="D96">
        <v>-1.4266556128859499E-2</v>
      </c>
      <c r="E96" s="3">
        <f t="shared" si="4"/>
        <v>370.18790087747033</v>
      </c>
      <c r="F96">
        <v>-1.63580011576414E-2</v>
      </c>
      <c r="G96">
        <f t="shared" si="5"/>
        <v>369.40246780748652</v>
      </c>
    </row>
    <row r="97" spans="1:8">
      <c r="A97" s="1">
        <v>35765</v>
      </c>
      <c r="B97">
        <v>337.06496646958198</v>
      </c>
      <c r="C97">
        <f t="shared" si="3"/>
        <v>-6.2857477261006878E-2</v>
      </c>
      <c r="D97">
        <v>-2.3060543462634E-2</v>
      </c>
      <c r="E97" s="3">
        <f t="shared" si="4"/>
        <v>350.65490748251602</v>
      </c>
      <c r="F97">
        <v>-4.55657066777348E-3</v>
      </c>
      <c r="G97">
        <f t="shared" si="5"/>
        <v>357.29657685621339</v>
      </c>
    </row>
    <row r="98" spans="1:8">
      <c r="A98" s="1">
        <v>35796</v>
      </c>
      <c r="B98">
        <v>333.75930409015098</v>
      </c>
      <c r="C98">
        <f t="shared" si="3"/>
        <v>-9.8556038648336397E-3</v>
      </c>
      <c r="D98">
        <v>-2.8944043442606902E-2</v>
      </c>
      <c r="E98" s="3">
        <f t="shared" si="4"/>
        <v>327.30894343710554</v>
      </c>
      <c r="F98">
        <v>-3.3780600875615997E-2</v>
      </c>
      <c r="G98">
        <f t="shared" si="5"/>
        <v>325.67870936812017</v>
      </c>
    </row>
    <row r="99" spans="1:8">
      <c r="A99" s="1">
        <v>35827</v>
      </c>
      <c r="B99">
        <v>307.09977459206198</v>
      </c>
      <c r="C99">
        <f t="shared" si="3"/>
        <v>-8.32473932917841E-2</v>
      </c>
      <c r="D99">
        <v>-4.0113471448421402E-2</v>
      </c>
      <c r="E99" s="3">
        <f t="shared" si="4"/>
        <v>320.37105977488568</v>
      </c>
      <c r="F99">
        <v>-6.5477639436721802E-2</v>
      </c>
      <c r="G99">
        <f t="shared" si="5"/>
        <v>311.90553271828486</v>
      </c>
    </row>
    <row r="100" spans="1:8">
      <c r="A100" s="1">
        <v>35855</v>
      </c>
      <c r="B100">
        <v>291.80386373996998</v>
      </c>
      <c r="C100">
        <f t="shared" si="3"/>
        <v>-5.1090816401342387E-2</v>
      </c>
      <c r="D100">
        <v>-6.9753266870975494E-2</v>
      </c>
      <c r="E100" s="3">
        <f t="shared" si="4"/>
        <v>285.67856205892548</v>
      </c>
      <c r="F100">
        <v>-3.9552528411149902E-2</v>
      </c>
      <c r="G100">
        <f t="shared" si="5"/>
        <v>294.95320203245171</v>
      </c>
    </row>
    <row r="101" spans="1:8">
      <c r="A101" s="1">
        <v>35886</v>
      </c>
      <c r="B101">
        <v>261.49226264220101</v>
      </c>
      <c r="C101">
        <f t="shared" si="3"/>
        <v>-0.10967718235554891</v>
      </c>
      <c r="D101">
        <v>-4.90169078111648E-2</v>
      </c>
      <c r="E101" s="3">
        <f t="shared" si="4"/>
        <v>277.50054065208616</v>
      </c>
      <c r="F101">
        <v>-2.9525989666581098E-2</v>
      </c>
      <c r="G101">
        <f t="shared" si="5"/>
        <v>283.18806587451519</v>
      </c>
    </row>
    <row r="102" spans="1:8">
      <c r="A102" s="1">
        <v>35916</v>
      </c>
      <c r="B102">
        <v>313.50547263061998</v>
      </c>
      <c r="C102">
        <f t="shared" si="3"/>
        <v>0.18141212177672372</v>
      </c>
      <c r="D102">
        <v>6.7075863480567897E-3</v>
      </c>
      <c r="E102" s="3">
        <f t="shared" si="4"/>
        <v>263.24624457322233</v>
      </c>
      <c r="F102">
        <v>-1.2851662002503801E-2</v>
      </c>
      <c r="G102">
        <f t="shared" si="5"/>
        <v>258.13165246645349</v>
      </c>
    </row>
    <row r="103" spans="1:8">
      <c r="A103" s="1">
        <v>35947</v>
      </c>
      <c r="B103">
        <v>313.21196119822002</v>
      </c>
      <c r="C103">
        <f t="shared" si="3"/>
        <v>-9.366628021361123E-4</v>
      </c>
      <c r="D103">
        <v>-6.5266909077763497E-3</v>
      </c>
      <c r="E103" s="3">
        <f t="shared" si="4"/>
        <v>311.45931931286356</v>
      </c>
      <c r="F103">
        <v>-6.4583625644445402E-3</v>
      </c>
      <c r="G103">
        <f t="shared" si="5"/>
        <v>311.48074062243387</v>
      </c>
    </row>
    <row r="104" spans="1:8">
      <c r="A104" s="1">
        <v>35977</v>
      </c>
      <c r="B104">
        <v>295.68169227501602</v>
      </c>
      <c r="C104">
        <f t="shared" si="3"/>
        <v>-5.7596641905824697E-2</v>
      </c>
      <c r="D104">
        <v>1.5480715082958299E-3</v>
      </c>
      <c r="E104" s="3">
        <f t="shared" si="4"/>
        <v>313.69683571140843</v>
      </c>
      <c r="F104" s="3">
        <v>-9.6912226581480303E-6</v>
      </c>
      <c r="G104">
        <f t="shared" si="5"/>
        <v>313.20892579136483</v>
      </c>
    </row>
    <row r="105" spans="1:8">
      <c r="A105" s="1">
        <v>36008</v>
      </c>
      <c r="B105">
        <v>300.52049056574799</v>
      </c>
      <c r="C105">
        <f t="shared" si="3"/>
        <v>1.6232428119660192E-2</v>
      </c>
      <c r="D105">
        <v>2.4918480776250302E-3</v>
      </c>
      <c r="E105" s="3">
        <f t="shared" si="4"/>
        <v>296.41848613150046</v>
      </c>
      <c r="F105">
        <v>2.8285480220802101E-4</v>
      </c>
      <c r="G105">
        <f t="shared" si="5"/>
        <v>295.76532726160099</v>
      </c>
    </row>
    <row r="106" spans="1:8">
      <c r="A106" s="1">
        <v>36039</v>
      </c>
      <c r="B106">
        <v>297.27158629828199</v>
      </c>
      <c r="C106">
        <f t="shared" si="3"/>
        <v>-1.0869786944085469E-2</v>
      </c>
      <c r="D106">
        <v>1.8691971199586901E-3</v>
      </c>
      <c r="E106" s="3">
        <f t="shared" si="4"/>
        <v>301.08222260120203</v>
      </c>
      <c r="F106">
        <v>5.6359535083174697E-3</v>
      </c>
      <c r="G106">
        <f t="shared" si="5"/>
        <v>302.21421007887329</v>
      </c>
    </row>
    <row r="107" spans="1:8">
      <c r="A107" s="1">
        <v>36069</v>
      </c>
      <c r="B107">
        <v>291.70848266856899</v>
      </c>
      <c r="C107">
        <f t="shared" si="3"/>
        <v>-1.889119638271719E-2</v>
      </c>
      <c r="D107">
        <v>3.0492328107357001E-2</v>
      </c>
      <c r="E107" s="3">
        <f t="shared" si="4"/>
        <v>306.33608904468372</v>
      </c>
      <c r="F107">
        <v>9.0800272300839407E-3</v>
      </c>
      <c r="G107">
        <f t="shared" si="5"/>
        <v>299.97082039660063</v>
      </c>
    </row>
    <row r="108" spans="1:8">
      <c r="A108" s="1">
        <v>36100</v>
      </c>
      <c r="B108">
        <v>302.98008984391601</v>
      </c>
      <c r="C108">
        <f t="shared" si="3"/>
        <v>3.7912136701771182E-2</v>
      </c>
      <c r="D108">
        <v>-3.7970785051584202E-2</v>
      </c>
      <c r="E108" s="3">
        <f t="shared" si="4"/>
        <v>280.63208257543698</v>
      </c>
      <c r="F108">
        <v>2.5363371241837701E-3</v>
      </c>
      <c r="G108">
        <f t="shared" si="5"/>
        <v>292.44835372260059</v>
      </c>
    </row>
    <row r="109" spans="1:8">
      <c r="A109" s="1">
        <v>36130</v>
      </c>
      <c r="B109">
        <v>323.72713088851998</v>
      </c>
      <c r="C109">
        <f t="shared" si="3"/>
        <v>6.6233879072295387E-2</v>
      </c>
      <c r="D109">
        <v>3.50116044282913E-2</v>
      </c>
      <c r="E109" s="3">
        <f t="shared" si="4"/>
        <v>313.58790889917935</v>
      </c>
      <c r="F109">
        <v>1.5916783362627002E-2</v>
      </c>
      <c r="G109">
        <f t="shared" si="5"/>
        <v>307.80255829715088</v>
      </c>
    </row>
    <row r="110" spans="1:8">
      <c r="A110" s="1">
        <v>36161</v>
      </c>
      <c r="B110">
        <v>309.21351696153903</v>
      </c>
      <c r="C110">
        <f t="shared" si="3"/>
        <v>-4.5868940661813795E-2</v>
      </c>
      <c r="D110">
        <v>-2.26521701551973E-3</v>
      </c>
      <c r="E110" s="3">
        <f t="shared" si="4"/>
        <v>322.99381868324593</v>
      </c>
      <c r="F110">
        <v>-2.2740870714187601E-2</v>
      </c>
      <c r="G110">
        <f t="shared" si="5"/>
        <v>316.36529405830925</v>
      </c>
      <c r="H110" s="3"/>
    </row>
    <row r="111" spans="1:8">
      <c r="A111" s="1">
        <v>36192</v>
      </c>
      <c r="B111">
        <v>295.76407738903401</v>
      </c>
      <c r="C111">
        <f t="shared" si="3"/>
        <v>-4.4469931000509E-2</v>
      </c>
      <c r="D111">
        <v>-8.8742030784487707E-3</v>
      </c>
      <c r="E111" s="3">
        <f t="shared" si="4"/>
        <v>306.46949341742095</v>
      </c>
      <c r="F111">
        <v>-9.6721993759274396E-3</v>
      </c>
      <c r="G111">
        <f t="shared" si="5"/>
        <v>306.22274217575529</v>
      </c>
      <c r="H111" s="3"/>
    </row>
    <row r="112" spans="1:8">
      <c r="A112" s="1">
        <v>36220</v>
      </c>
      <c r="B112">
        <v>293.24585177211401</v>
      </c>
      <c r="C112">
        <f t="shared" si="3"/>
        <v>-8.5507589453612809E-3</v>
      </c>
      <c r="D112">
        <v>-1.10918395221233E-2</v>
      </c>
      <c r="E112" s="3">
        <f t="shared" si="4"/>
        <v>292.48350970622602</v>
      </c>
      <c r="F112">
        <v>1.01818097755312E-2</v>
      </c>
      <c r="G112">
        <f t="shared" si="5"/>
        <v>298.77549096344467</v>
      </c>
      <c r="H112" s="3"/>
    </row>
    <row r="113" spans="1:7">
      <c r="A113" s="1">
        <v>36251</v>
      </c>
      <c r="B113">
        <v>240.46646817553</v>
      </c>
      <c r="C113">
        <f t="shared" si="3"/>
        <v>-0.1984306873692816</v>
      </c>
      <c r="D113">
        <v>-0.155957207083702</v>
      </c>
      <c r="E113" s="3">
        <f t="shared" si="4"/>
        <v>247.51204774085386</v>
      </c>
      <c r="F113">
        <v>-0.144535392522811</v>
      </c>
      <c r="G113">
        <f t="shared" si="5"/>
        <v>250.86144748054545</v>
      </c>
    </row>
    <row r="114" spans="1:7">
      <c r="A114" s="1">
        <v>36281</v>
      </c>
      <c r="B114">
        <v>208.61228983797301</v>
      </c>
      <c r="C114">
        <f t="shared" si="3"/>
        <v>-0.14210319771837288</v>
      </c>
      <c r="D114">
        <v>-0.121775209903717</v>
      </c>
      <c r="E114" s="3">
        <f t="shared" si="4"/>
        <v>211.18361353864935</v>
      </c>
      <c r="F114">
        <v>6.7787915468215901E-2</v>
      </c>
      <c r="G114">
        <f t="shared" si="5"/>
        <v>256.76718879315325</v>
      </c>
    </row>
    <row r="115" spans="1:7">
      <c r="A115" s="1">
        <v>36312</v>
      </c>
      <c r="B115">
        <v>233.63684251650599</v>
      </c>
      <c r="C115">
        <f t="shared" si="3"/>
        <v>0.11329049812909986</v>
      </c>
      <c r="D115">
        <v>3.3919403795152898E-3</v>
      </c>
      <c r="E115" s="3">
        <f t="shared" si="4"/>
        <v>209.31989028753759</v>
      </c>
      <c r="F115">
        <v>-0.19759301841259</v>
      </c>
      <c r="G115">
        <f t="shared" si="5"/>
        <v>167.39195781092585</v>
      </c>
    </row>
    <row r="116" spans="1:7">
      <c r="A116" s="1">
        <v>36342</v>
      </c>
      <c r="B116">
        <v>268.66113333076999</v>
      </c>
      <c r="C116">
        <f t="shared" si="3"/>
        <v>0.13968290331305067</v>
      </c>
      <c r="D116">
        <v>2.5059992447495402E-2</v>
      </c>
      <c r="E116" s="3">
        <f t="shared" si="4"/>
        <v>239.49178002542629</v>
      </c>
      <c r="F116">
        <v>6.7810408771038E-2</v>
      </c>
      <c r="G116">
        <f t="shared" si="5"/>
        <v>249.47985231152489</v>
      </c>
    </row>
    <row r="117" spans="1:7">
      <c r="A117" s="1">
        <v>36373</v>
      </c>
      <c r="B117">
        <v>263.673036807659</v>
      </c>
      <c r="C117">
        <f t="shared" si="3"/>
        <v>-1.8741019448915708E-2</v>
      </c>
      <c r="D117">
        <v>-8.6918013403192097E-4</v>
      </c>
      <c r="E117" s="3">
        <f t="shared" si="4"/>
        <v>268.42761841089236</v>
      </c>
      <c r="F117">
        <v>6.7370072007179205E-2</v>
      </c>
      <c r="G117">
        <f t="shared" si="5"/>
        <v>286.7608532287943</v>
      </c>
    </row>
    <row r="118" spans="1:7">
      <c r="A118" s="1">
        <v>36404</v>
      </c>
      <c r="B118">
        <v>276.48873082064199</v>
      </c>
      <c r="C118">
        <f t="shared" si="3"/>
        <v>4.7460224971640486E-2</v>
      </c>
      <c r="D118">
        <v>0.145310804247856</v>
      </c>
      <c r="E118" s="3">
        <f t="shared" si="4"/>
        <v>301.98757784465448</v>
      </c>
      <c r="F118">
        <v>3.43211330473423E-2</v>
      </c>
      <c r="G118">
        <f t="shared" si="5"/>
        <v>272.72259418493144</v>
      </c>
    </row>
    <row r="119" spans="1:7">
      <c r="A119" s="1">
        <v>36434</v>
      </c>
      <c r="B119">
        <v>286.22353383934802</v>
      </c>
      <c r="C119">
        <f t="shared" si="3"/>
        <v>3.4603028784662371E-2</v>
      </c>
      <c r="D119">
        <v>-5.5616587400436401E-2</v>
      </c>
      <c r="E119" s="3">
        <f t="shared" si="4"/>
        <v>261.11137115772004</v>
      </c>
      <c r="F119">
        <v>7.0273056626319802E-2</v>
      </c>
      <c r="G119">
        <f t="shared" si="5"/>
        <v>295.91843905814028</v>
      </c>
    </row>
    <row r="120" spans="1:7">
      <c r="A120" s="1">
        <v>36465</v>
      </c>
      <c r="B120">
        <v>369.12721383164899</v>
      </c>
      <c r="C120">
        <f t="shared" si="3"/>
        <v>0.25436824516741297</v>
      </c>
      <c r="D120">
        <v>0.19965530931949599</v>
      </c>
      <c r="E120" s="3">
        <f t="shared" si="4"/>
        <v>343.36958202256227</v>
      </c>
      <c r="F120">
        <v>3.5835932940244598E-2</v>
      </c>
      <c r="G120">
        <f t="shared" si="5"/>
        <v>296.48062120393473</v>
      </c>
    </row>
    <row r="121" spans="1:7">
      <c r="A121" s="1">
        <v>36495</v>
      </c>
      <c r="B121">
        <v>403.28270583451399</v>
      </c>
      <c r="C121">
        <f t="shared" si="3"/>
        <v>8.8496481761507262E-2</v>
      </c>
      <c r="D121">
        <v>0.12511543929576799</v>
      </c>
      <c r="E121" s="3">
        <f t="shared" si="4"/>
        <v>415.31072734621864</v>
      </c>
      <c r="F121">
        <v>0.16304518282413399</v>
      </c>
      <c r="G121">
        <f t="shared" si="5"/>
        <v>429.31162789619339</v>
      </c>
    </row>
    <row r="122" spans="1:7">
      <c r="A122" s="1">
        <v>36526</v>
      </c>
      <c r="B122">
        <v>398.51926877602</v>
      </c>
      <c r="C122">
        <f t="shared" si="3"/>
        <v>-1.1881968993614045E-2</v>
      </c>
      <c r="D122">
        <v>6.2699901172891205E-4</v>
      </c>
      <c r="E122" s="3">
        <f t="shared" si="4"/>
        <v>403.53556369251959</v>
      </c>
      <c r="F122">
        <v>1.8991222605109201E-2</v>
      </c>
      <c r="G122">
        <f t="shared" si="5"/>
        <v>410.94153747380801</v>
      </c>
    </row>
    <row r="123" spans="1:7">
      <c r="A123" s="1">
        <v>36557</v>
      </c>
      <c r="B123">
        <v>370.80397326089599</v>
      </c>
      <c r="C123">
        <f t="shared" si="3"/>
        <v>-7.2082301317205832E-2</v>
      </c>
      <c r="D123">
        <v>1.6514988616108801E-2</v>
      </c>
      <c r="E123" s="3">
        <f t="shared" si="4"/>
        <v>405.100809963156</v>
      </c>
      <c r="F123">
        <v>5.3131780587136702E-3</v>
      </c>
      <c r="G123">
        <f t="shared" si="5"/>
        <v>400.63667261085538</v>
      </c>
    </row>
    <row r="124" spans="1:7">
      <c r="A124" s="1">
        <v>36586</v>
      </c>
      <c r="B124">
        <v>325.079581643994</v>
      </c>
      <c r="C124">
        <f t="shared" si="3"/>
        <v>-0.13160353005716541</v>
      </c>
      <c r="D124">
        <v>1.6087979078292802E-2</v>
      </c>
      <c r="E124" s="3">
        <f t="shared" si="4"/>
        <v>376.76945982486512</v>
      </c>
      <c r="F124">
        <v>8.9255673810839601E-3</v>
      </c>
      <c r="G124">
        <f t="shared" si="5"/>
        <v>374.11360910940977</v>
      </c>
    </row>
    <row r="125" spans="1:7">
      <c r="A125" s="1">
        <v>36617</v>
      </c>
      <c r="B125">
        <v>330.28246385084799</v>
      </c>
      <c r="C125">
        <f t="shared" si="3"/>
        <v>1.5878220454784042E-2</v>
      </c>
      <c r="D125">
        <v>-4.2248811572790097E-2</v>
      </c>
      <c r="E125" s="3">
        <f t="shared" si="4"/>
        <v>311.34535565295545</v>
      </c>
      <c r="F125">
        <v>-5.6847307831048903E-2</v>
      </c>
      <c r="G125">
        <f t="shared" si="5"/>
        <v>306.59968259668926</v>
      </c>
    </row>
    <row r="126" spans="1:7">
      <c r="A126" s="1">
        <v>36647</v>
      </c>
      <c r="B126">
        <v>311.97852367909297</v>
      </c>
      <c r="C126">
        <f t="shared" si="3"/>
        <v>-5.701388832808707E-2</v>
      </c>
      <c r="D126">
        <v>-5.4178524762392002E-2</v>
      </c>
      <c r="E126" s="3">
        <f t="shared" si="4"/>
        <v>312.38824720452101</v>
      </c>
      <c r="F126">
        <v>-4.64010313153266E-2</v>
      </c>
      <c r="G126">
        <f t="shared" si="5"/>
        <v>314.95701690280157</v>
      </c>
    </row>
    <row r="127" spans="1:7">
      <c r="A127" s="1">
        <v>36678</v>
      </c>
      <c r="B127">
        <v>275.27804712553598</v>
      </c>
      <c r="C127">
        <f t="shared" si="3"/>
        <v>-0.12515268375291022</v>
      </c>
      <c r="D127">
        <v>-7.9841665923595401E-2</v>
      </c>
      <c r="E127" s="3">
        <f t="shared" si="4"/>
        <v>287.06963861617032</v>
      </c>
      <c r="F127">
        <v>-7.3020659387111594E-2</v>
      </c>
      <c r="G127">
        <f t="shared" si="5"/>
        <v>289.19764616542801</v>
      </c>
    </row>
    <row r="128" spans="1:7">
      <c r="A128" s="1">
        <v>36708</v>
      </c>
      <c r="B128">
        <v>257.348427696025</v>
      </c>
      <c r="C128">
        <f t="shared" si="3"/>
        <v>-6.7350750839238138E-2</v>
      </c>
      <c r="D128">
        <v>-7.7158018946647602E-2</v>
      </c>
      <c r="E128" s="3">
        <f t="shared" si="4"/>
        <v>254.03813834982773</v>
      </c>
      <c r="F128">
        <v>-9.6582725644111606E-2</v>
      </c>
      <c r="G128">
        <f t="shared" si="5"/>
        <v>248.69094302416352</v>
      </c>
    </row>
    <row r="129" spans="1:7">
      <c r="A129" s="1">
        <v>36739</v>
      </c>
      <c r="B129">
        <v>233.44143060979499</v>
      </c>
      <c r="C129">
        <f t="shared" si="3"/>
        <v>-9.749970334727287E-2</v>
      </c>
      <c r="D129">
        <v>-7.7105946838855702E-2</v>
      </c>
      <c r="E129" s="3">
        <f t="shared" si="4"/>
        <v>237.50533351103221</v>
      </c>
      <c r="F129">
        <v>-6.6903442144393893E-2</v>
      </c>
      <c r="G129">
        <f t="shared" si="5"/>
        <v>240.13093205271326</v>
      </c>
    </row>
    <row r="130" spans="1:7">
      <c r="A130" s="1">
        <v>36770</v>
      </c>
      <c r="B130">
        <v>273.69596671489302</v>
      </c>
      <c r="C130">
        <f t="shared" si="3"/>
        <v>0.1590866666459565</v>
      </c>
      <c r="D130">
        <v>-2.8227660804986902E-2</v>
      </c>
      <c r="E130" s="3">
        <f t="shared" si="4"/>
        <v>226.8519250887108</v>
      </c>
      <c r="F130">
        <v>-1.9005488604307098E-2</v>
      </c>
      <c r="G130">
        <f t="shared" si="5"/>
        <v>229.0047621605674</v>
      </c>
    </row>
    <row r="131" spans="1:7">
      <c r="A131" s="1">
        <v>36800</v>
      </c>
      <c r="B131">
        <v>295.984504119051</v>
      </c>
      <c r="C131">
        <f t="shared" si="3"/>
        <v>7.8289222219606991E-2</v>
      </c>
      <c r="D131">
        <v>-0.35321569442749001</v>
      </c>
      <c r="E131" s="3">
        <f t="shared" si="4"/>
        <v>177.02225576968888</v>
      </c>
      <c r="F131">
        <v>0.11943970620632099</v>
      </c>
      <c r="G131">
        <f t="shared" si="5"/>
        <v>306.38613256917483</v>
      </c>
    </row>
    <row r="132" spans="1:7">
      <c r="A132" s="1">
        <v>36831</v>
      </c>
      <c r="B132">
        <v>292.40933094990402</v>
      </c>
      <c r="C132">
        <f t="shared" ref="C132:C195" si="6">LN(B132)-LN(B131)</f>
        <v>-1.2152463044711403E-2</v>
      </c>
      <c r="D132">
        <v>0.43055048584937999</v>
      </c>
      <c r="E132" s="3">
        <f t="shared" si="4"/>
        <v>423.4207761713962</v>
      </c>
      <c r="F132">
        <v>5.1768574863672201E-2</v>
      </c>
      <c r="G132">
        <f t="shared" si="5"/>
        <v>311.30720007902499</v>
      </c>
    </row>
    <row r="133" spans="1:7">
      <c r="A133" s="1">
        <v>36861</v>
      </c>
      <c r="B133">
        <v>333.86639878510198</v>
      </c>
      <c r="C133">
        <f t="shared" si="6"/>
        <v>0.13258627035664805</v>
      </c>
      <c r="D133">
        <v>0.110289171338081</v>
      </c>
      <c r="E133" s="3">
        <f t="shared" ref="E133:E196" si="7">B132*D133+B132</f>
        <v>324.65891375189159</v>
      </c>
      <c r="F133">
        <v>1.6415670514106698E-2</v>
      </c>
      <c r="G133">
        <f t="shared" si="5"/>
        <v>297.20942618202804</v>
      </c>
    </row>
    <row r="134" spans="1:7">
      <c r="A134" s="1">
        <v>36892</v>
      </c>
      <c r="B134">
        <v>336.66305489916999</v>
      </c>
      <c r="C134">
        <f t="shared" si="6"/>
        <v>8.3416837708965019E-3</v>
      </c>
      <c r="D134">
        <v>8.6617328226566301E-2</v>
      </c>
      <c r="E134" s="3">
        <f t="shared" si="7"/>
        <v>362.78501423249281</v>
      </c>
      <c r="F134">
        <v>2.6900153607129999E-2</v>
      </c>
      <c r="G134">
        <f t="shared" si="5"/>
        <v>342.84745619668053</v>
      </c>
    </row>
    <row r="135" spans="1:7">
      <c r="A135" s="1">
        <v>36923</v>
      </c>
      <c r="B135">
        <v>312.22864020804201</v>
      </c>
      <c r="C135">
        <f t="shared" si="6"/>
        <v>-7.534685248060935E-2</v>
      </c>
      <c r="D135">
        <v>1.2738885357975901E-2</v>
      </c>
      <c r="E135" s="3">
        <f t="shared" si="7"/>
        <v>340.95176695979649</v>
      </c>
      <c r="F135">
        <v>3.4427367150783497E-2</v>
      </c>
      <c r="G135">
        <f t="shared" ref="G135:G198" si="8">B134*F135+B134</f>
        <v>348.2534774962881</v>
      </c>
    </row>
    <row r="136" spans="1:7">
      <c r="A136" s="1">
        <v>36951</v>
      </c>
      <c r="B136">
        <v>358.001853740353</v>
      </c>
      <c r="C136">
        <f t="shared" si="6"/>
        <v>0.13680242382619934</v>
      </c>
      <c r="D136">
        <v>-1.15584731101989E-2</v>
      </c>
      <c r="E136" s="3">
        <f t="shared" si="7"/>
        <v>308.61975386596339</v>
      </c>
      <c r="F136">
        <v>2.6470223441719998E-2</v>
      </c>
      <c r="G136">
        <f t="shared" si="8"/>
        <v>320.49340207925326</v>
      </c>
    </row>
    <row r="137" spans="1:7">
      <c r="A137" s="1">
        <v>36982</v>
      </c>
      <c r="B137">
        <v>368.07450340717298</v>
      </c>
      <c r="C137">
        <f t="shared" si="6"/>
        <v>2.7747208155524561E-2</v>
      </c>
      <c r="D137">
        <v>-9.6988715231418592E-3</v>
      </c>
      <c r="E137" s="3">
        <f t="shared" si="7"/>
        <v>354.52963975587869</v>
      </c>
      <c r="F137">
        <v>4.3633870780467897E-2</v>
      </c>
      <c r="G137">
        <f t="shared" si="8"/>
        <v>373.6228603656275</v>
      </c>
    </row>
    <row r="138" spans="1:7">
      <c r="A138" s="1">
        <v>37012</v>
      </c>
      <c r="B138">
        <v>340.90871374460397</v>
      </c>
      <c r="C138">
        <f t="shared" si="6"/>
        <v>-7.6670632772184888E-2</v>
      </c>
      <c r="D138">
        <v>3.5421367734670597E-2</v>
      </c>
      <c r="E138" s="3">
        <f t="shared" si="7"/>
        <v>381.11220574611474</v>
      </c>
      <c r="F138">
        <v>2.45617888867855E-2</v>
      </c>
      <c r="G138">
        <f t="shared" si="8"/>
        <v>377.11507165446835</v>
      </c>
    </row>
    <row r="139" spans="1:7">
      <c r="A139" s="1">
        <v>37043</v>
      </c>
      <c r="B139">
        <v>336.00816418604802</v>
      </c>
      <c r="C139">
        <f t="shared" si="6"/>
        <v>-1.4479281975542158E-2</v>
      </c>
      <c r="D139">
        <v>1.14162415266036E-2</v>
      </c>
      <c r="E139" s="3">
        <f t="shared" si="7"/>
        <v>344.80060995923611</v>
      </c>
      <c r="F139">
        <v>-3.1056920066475799E-2</v>
      </c>
      <c r="G139">
        <f t="shared" si="8"/>
        <v>330.32113907187272</v>
      </c>
    </row>
    <row r="140" spans="1:7">
      <c r="A140" s="1">
        <v>37073</v>
      </c>
      <c r="B140">
        <v>311.96518075013603</v>
      </c>
      <c r="C140">
        <f t="shared" si="6"/>
        <v>-7.4243876418869093E-2</v>
      </c>
      <c r="D140">
        <v>-7.5884364545345306E-2</v>
      </c>
      <c r="E140" s="3">
        <f t="shared" si="7"/>
        <v>310.51039816474173</v>
      </c>
      <c r="F140">
        <v>-5.0200860947370501E-2</v>
      </c>
      <c r="G140">
        <f t="shared" si="8"/>
        <v>319.14026505856299</v>
      </c>
    </row>
    <row r="141" spans="1:7">
      <c r="A141" s="1">
        <v>37104</v>
      </c>
      <c r="B141">
        <v>277.15288234069902</v>
      </c>
      <c r="C141">
        <f t="shared" si="6"/>
        <v>-0.11832230567980684</v>
      </c>
      <c r="D141">
        <v>-9.1912940144538796E-2</v>
      </c>
      <c r="E141" s="3">
        <f t="shared" si="7"/>
        <v>283.29154376466857</v>
      </c>
      <c r="F141">
        <v>-1.9382439553737599E-2</v>
      </c>
      <c r="G141">
        <f t="shared" si="8"/>
        <v>305.91853449137568</v>
      </c>
    </row>
    <row r="142" spans="1:7">
      <c r="A142" s="1">
        <v>37135</v>
      </c>
      <c r="B142">
        <v>300.165389202923</v>
      </c>
      <c r="C142">
        <f t="shared" si="6"/>
        <v>7.9764344348632221E-2</v>
      </c>
      <c r="D142">
        <v>6.4494181424379297E-3</v>
      </c>
      <c r="E142" s="3">
        <f t="shared" si="7"/>
        <v>278.94035716829609</v>
      </c>
      <c r="F142">
        <v>-9.1764599084854098E-2</v>
      </c>
      <c r="G142">
        <f t="shared" si="8"/>
        <v>251.72005920749302</v>
      </c>
    </row>
    <row r="143" spans="1:7">
      <c r="A143" s="1">
        <v>37165</v>
      </c>
      <c r="B143">
        <v>350.85263370529498</v>
      </c>
      <c r="C143">
        <f t="shared" si="6"/>
        <v>0.15603266822125228</v>
      </c>
      <c r="D143">
        <v>1.71750056743621</v>
      </c>
      <c r="E143" s="3">
        <f t="shared" si="7"/>
        <v>815.69961548365404</v>
      </c>
      <c r="F143">
        <v>3.7823885679244898E-2</v>
      </c>
      <c r="G143">
        <f t="shared" si="8"/>
        <v>311.51881056900038</v>
      </c>
    </row>
    <row r="144" spans="1:7">
      <c r="A144" s="1">
        <v>37196</v>
      </c>
      <c r="B144">
        <v>313.94073064571199</v>
      </c>
      <c r="C144">
        <f t="shared" si="6"/>
        <v>-0.11116207612573881</v>
      </c>
      <c r="D144">
        <v>-3.1058983802795401</v>
      </c>
      <c r="E144" s="3">
        <f t="shared" si="7"/>
        <v>-738.85999303679159</v>
      </c>
      <c r="F144">
        <v>5.3981389850378002E-2</v>
      </c>
      <c r="G144">
        <f t="shared" si="8"/>
        <v>369.79214650537239</v>
      </c>
    </row>
    <row r="145" spans="1:8">
      <c r="A145" s="1">
        <v>37226</v>
      </c>
      <c r="B145">
        <v>327.42405647955002</v>
      </c>
      <c r="C145">
        <f t="shared" si="6"/>
        <v>4.2051927386684618E-2</v>
      </c>
      <c r="D145">
        <v>1.49792397022247</v>
      </c>
      <c r="E145" s="3">
        <f t="shared" si="7"/>
        <v>784.20007630908003</v>
      </c>
      <c r="F145">
        <v>1.77209563553333E-2</v>
      </c>
      <c r="G145">
        <f t="shared" si="8"/>
        <v>319.5040606316461</v>
      </c>
      <c r="H145" s="3"/>
    </row>
    <row r="146" spans="1:8">
      <c r="A146" s="1">
        <v>37257</v>
      </c>
      <c r="B146">
        <v>310.72794511119997</v>
      </c>
      <c r="C146">
        <f t="shared" si="6"/>
        <v>-5.2338384794296644E-2</v>
      </c>
      <c r="D146">
        <v>-3.0029242858290599E-2</v>
      </c>
      <c r="E146" s="3">
        <f t="shared" si="7"/>
        <v>317.59175996987898</v>
      </c>
      <c r="F146">
        <v>-0.21257808804511999</v>
      </c>
      <c r="G146">
        <f t="shared" si="8"/>
        <v>257.82087657314992</v>
      </c>
    </row>
    <row r="147" spans="1:8">
      <c r="A147" s="1">
        <v>37288</v>
      </c>
      <c r="B147">
        <v>296.150619453753</v>
      </c>
      <c r="C147">
        <f t="shared" si="6"/>
        <v>-4.8049580368653366E-2</v>
      </c>
      <c r="D147">
        <v>-2.3121580481529201E-2</v>
      </c>
      <c r="E147" s="3">
        <f t="shared" si="7"/>
        <v>303.54342392045118</v>
      </c>
      <c r="F147">
        <v>-0.370459914207458</v>
      </c>
      <c r="G147">
        <f t="shared" si="8"/>
        <v>195.61569722344512</v>
      </c>
    </row>
    <row r="148" spans="1:8">
      <c r="A148" s="1">
        <v>37316</v>
      </c>
      <c r="B148">
        <v>283.51523290506702</v>
      </c>
      <c r="C148">
        <f t="shared" si="6"/>
        <v>-4.3602321098119567E-2</v>
      </c>
      <c r="D148">
        <v>-5.5127598345279603E-2</v>
      </c>
      <c r="E148" s="3">
        <f t="shared" si="7"/>
        <v>279.82454705480075</v>
      </c>
      <c r="F148">
        <v>0.47475957870483398</v>
      </c>
      <c r="G148">
        <f t="shared" si="8"/>
        <v>436.75096277879237</v>
      </c>
    </row>
    <row r="149" spans="1:8">
      <c r="A149" s="1">
        <v>37347</v>
      </c>
      <c r="B149">
        <v>262.93108154626202</v>
      </c>
      <c r="C149">
        <f t="shared" si="6"/>
        <v>-7.5373902827113426E-2</v>
      </c>
      <c r="D149">
        <v>-0.23775666952133101</v>
      </c>
      <c r="E149" s="3">
        <f t="shared" si="7"/>
        <v>216.10759537099381</v>
      </c>
      <c r="F149">
        <v>-3.5287398844957303E-2</v>
      </c>
      <c r="G149">
        <f t="shared" si="8"/>
        <v>273.51071780292494</v>
      </c>
    </row>
    <row r="150" spans="1:8">
      <c r="A150" s="1">
        <v>37377</v>
      </c>
      <c r="B150">
        <v>264.85601630457398</v>
      </c>
      <c r="C150">
        <f t="shared" si="6"/>
        <v>7.2943931419739982E-3</v>
      </c>
      <c r="D150">
        <v>4.8169083893299103E-2</v>
      </c>
      <c r="E150" s="3">
        <f t="shared" si="7"/>
        <v>275.59623087141978</v>
      </c>
      <c r="F150">
        <v>-1.9302286207675899E-2</v>
      </c>
      <c r="G150">
        <f t="shared" si="8"/>
        <v>257.85591055736228</v>
      </c>
    </row>
    <row r="151" spans="1:8">
      <c r="A151" s="1">
        <v>37408</v>
      </c>
      <c r="B151">
        <v>243.52670664690601</v>
      </c>
      <c r="C151">
        <f t="shared" si="6"/>
        <v>-8.3959728896907393E-2</v>
      </c>
      <c r="D151">
        <v>4.6019058674573898E-2</v>
      </c>
      <c r="E151" s="3">
        <f t="shared" si="7"/>
        <v>277.04444085920807</v>
      </c>
      <c r="F151">
        <v>-8.8978849351406097E-2</v>
      </c>
      <c r="G151">
        <f t="shared" si="8"/>
        <v>241.28943272999572</v>
      </c>
    </row>
    <row r="152" spans="1:8">
      <c r="A152" s="1">
        <v>37438</v>
      </c>
      <c r="B152">
        <v>247.68961005067999</v>
      </c>
      <c r="C152">
        <f t="shared" si="6"/>
        <v>1.6949775188061622E-2</v>
      </c>
      <c r="D152">
        <v>-4.8087756149470797E-3</v>
      </c>
      <c r="E152" s="3">
        <f t="shared" si="7"/>
        <v>242.355641358394</v>
      </c>
      <c r="F152">
        <v>2.2951129358261802E-3</v>
      </c>
      <c r="G152">
        <f t="shared" si="8"/>
        <v>244.08562794155046</v>
      </c>
    </row>
    <row r="153" spans="1:8">
      <c r="A153" s="1">
        <v>37469</v>
      </c>
      <c r="B153">
        <v>249.54816898699099</v>
      </c>
      <c r="C153">
        <f t="shared" si="6"/>
        <v>7.4755687117278313E-3</v>
      </c>
      <c r="D153">
        <v>-2.72204093635082E-2</v>
      </c>
      <c r="E153" s="3">
        <f t="shared" si="7"/>
        <v>240.94739747001276</v>
      </c>
      <c r="F153">
        <v>-3.81743088364601E-2</v>
      </c>
      <c r="G153">
        <f t="shared" si="8"/>
        <v>238.23423038102297</v>
      </c>
    </row>
    <row r="154" spans="1:8">
      <c r="A154" s="1">
        <v>37500</v>
      </c>
      <c r="B154">
        <v>243.502016523484</v>
      </c>
      <c r="C154">
        <f t="shared" si="6"/>
        <v>-2.4526734730631716E-2</v>
      </c>
      <c r="D154">
        <v>-8.4167057648301107E-3</v>
      </c>
      <c r="E154" s="3">
        <f t="shared" si="7"/>
        <v>247.44779547447538</v>
      </c>
      <c r="F154">
        <v>-4.5666950754821301E-3</v>
      </c>
      <c r="G154">
        <f t="shared" si="8"/>
        <v>248.40855859258252</v>
      </c>
    </row>
    <row r="155" spans="1:8">
      <c r="A155" s="1">
        <v>37530</v>
      </c>
      <c r="B155">
        <v>224.50378426022601</v>
      </c>
      <c r="C155">
        <f t="shared" si="6"/>
        <v>-8.1232660465735407E-2</v>
      </c>
      <c r="D155">
        <v>2.7647372335195498E-3</v>
      </c>
      <c r="E155" s="3">
        <f t="shared" si="7"/>
        <v>244.17523561500357</v>
      </c>
      <c r="F155">
        <v>-4.66397367417812E-2</v>
      </c>
      <c r="G155">
        <f t="shared" si="8"/>
        <v>232.14514657673584</v>
      </c>
    </row>
    <row r="156" spans="1:8">
      <c r="A156" s="1">
        <v>37561</v>
      </c>
      <c r="B156">
        <v>212.58533775671299</v>
      </c>
      <c r="C156">
        <f t="shared" si="6"/>
        <v>-5.4549066240862309E-2</v>
      </c>
      <c r="D156">
        <v>-8.3020009100437095E-2</v>
      </c>
      <c r="E156" s="3">
        <f t="shared" si="7"/>
        <v>205.86547804785948</v>
      </c>
      <c r="F156">
        <v>-6.0405723750591202E-2</v>
      </c>
      <c r="G156">
        <f t="shared" si="8"/>
        <v>210.94247068724047</v>
      </c>
    </row>
    <row r="157" spans="1:8">
      <c r="A157" s="1">
        <v>37591</v>
      </c>
      <c r="B157">
        <v>229.69238340733099</v>
      </c>
      <c r="C157">
        <f t="shared" si="6"/>
        <v>7.7397453081915479E-2</v>
      </c>
      <c r="D157">
        <v>-2.4931719526648501E-2</v>
      </c>
      <c r="E157" s="3">
        <f t="shared" si="7"/>
        <v>207.28521974028479</v>
      </c>
      <c r="F157">
        <v>1.8584696808829899E-3</v>
      </c>
      <c r="G157">
        <f t="shared" si="8"/>
        <v>212.98042116153411</v>
      </c>
    </row>
    <row r="158" spans="1:8">
      <c r="A158" s="1">
        <v>37622</v>
      </c>
      <c r="B158">
        <v>234.83295996310699</v>
      </c>
      <c r="C158">
        <f t="shared" si="6"/>
        <v>2.2133502457989174E-2</v>
      </c>
      <c r="D158">
        <v>-7.2021856904029803E-3</v>
      </c>
      <c r="E158" s="3">
        <f t="shared" si="7"/>
        <v>228.03809621036015</v>
      </c>
      <c r="F158">
        <v>4.4787555932998602E-2</v>
      </c>
      <c r="G158">
        <f t="shared" si="8"/>
        <v>239.97974387657058</v>
      </c>
    </row>
    <row r="159" spans="1:8">
      <c r="A159" s="1">
        <v>37653</v>
      </c>
      <c r="B159">
        <v>219.04539314346599</v>
      </c>
      <c r="C159">
        <f t="shared" si="6"/>
        <v>-6.9595469766491114E-2</v>
      </c>
      <c r="D159">
        <v>1.0997742414474401E-2</v>
      </c>
      <c r="E159" s="3">
        <f t="shared" si="7"/>
        <v>237.41559236720983</v>
      </c>
      <c r="F159">
        <v>1.9046816974878301E-2</v>
      </c>
      <c r="G159">
        <f t="shared" si="8"/>
        <v>239.30578037119321</v>
      </c>
    </row>
    <row r="160" spans="1:8">
      <c r="A160" s="1">
        <v>37681</v>
      </c>
      <c r="B160">
        <v>220.45497679896499</v>
      </c>
      <c r="C160">
        <f t="shared" si="6"/>
        <v>6.4145042193786139E-3</v>
      </c>
      <c r="D160">
        <v>7.46657280251383E-3</v>
      </c>
      <c r="E160" s="3">
        <f t="shared" si="7"/>
        <v>220.68091151842694</v>
      </c>
      <c r="F160">
        <v>-5.257223919034E-2</v>
      </c>
      <c r="G160">
        <f t="shared" si="8"/>
        <v>207.52968634158563</v>
      </c>
    </row>
    <row r="161" spans="1:8">
      <c r="A161" s="1">
        <v>37712</v>
      </c>
      <c r="B161">
        <v>233.824123729836</v>
      </c>
      <c r="C161">
        <f t="shared" si="6"/>
        <v>5.8875737581488785E-2</v>
      </c>
      <c r="D161">
        <v>5.6518826633691698E-2</v>
      </c>
      <c r="E161" s="3">
        <f t="shared" si="7"/>
        <v>232.91483341320023</v>
      </c>
      <c r="F161">
        <v>-1.3292389921844E-2</v>
      </c>
      <c r="G161">
        <f t="shared" si="8"/>
        <v>217.52460328714207</v>
      </c>
    </row>
    <row r="162" spans="1:8">
      <c r="A162" s="1">
        <v>37742</v>
      </c>
      <c r="B162">
        <v>199.94814487171601</v>
      </c>
      <c r="C162">
        <f t="shared" si="6"/>
        <v>-0.15651116747777216</v>
      </c>
      <c r="D162">
        <v>-0.11864387989044101</v>
      </c>
      <c r="E162" s="3">
        <f t="shared" si="7"/>
        <v>206.08232247854573</v>
      </c>
      <c r="F162">
        <v>-2.16231029480695E-2</v>
      </c>
      <c r="G162">
        <f t="shared" si="8"/>
        <v>228.76812063068363</v>
      </c>
    </row>
    <row r="163" spans="1:8">
      <c r="A163" s="1">
        <v>37773</v>
      </c>
      <c r="B163">
        <v>209.89420225941501</v>
      </c>
      <c r="C163">
        <f t="shared" si="6"/>
        <v>4.8545547714663684E-2</v>
      </c>
      <c r="D163">
        <v>1.55811989679932E-2</v>
      </c>
      <c r="E163" s="3">
        <f t="shared" si="7"/>
        <v>203.06357670024335</v>
      </c>
      <c r="F163">
        <v>-1.1628362350165801E-2</v>
      </c>
      <c r="G163">
        <f t="shared" si="8"/>
        <v>197.62307539190425</v>
      </c>
      <c r="H163" s="3"/>
    </row>
    <row r="164" spans="1:8">
      <c r="A164" s="1">
        <v>37803</v>
      </c>
      <c r="B164">
        <v>196.70379248966</v>
      </c>
      <c r="C164">
        <f t="shared" si="6"/>
        <v>-6.490459921656111E-2</v>
      </c>
      <c r="D164">
        <v>-2.4375133216381E-2</v>
      </c>
      <c r="E164" s="3">
        <f t="shared" si="7"/>
        <v>204.77800311799575</v>
      </c>
      <c r="F164">
        <v>-3.8033623248338699E-2</v>
      </c>
      <c r="G164">
        <f t="shared" si="8"/>
        <v>201.91116524866982</v>
      </c>
    </row>
    <row r="165" spans="1:8">
      <c r="A165" s="1">
        <v>37834</v>
      </c>
      <c r="B165">
        <v>207.73662488648699</v>
      </c>
      <c r="C165">
        <f t="shared" si="6"/>
        <v>5.4572045064911201E-2</v>
      </c>
      <c r="D165">
        <v>-2.87443976849317E-2</v>
      </c>
      <c r="E165" s="3">
        <f t="shared" si="7"/>
        <v>191.04966045220294</v>
      </c>
      <c r="F165">
        <v>-2.3963414132595002E-3</v>
      </c>
      <c r="G165">
        <f t="shared" si="8"/>
        <v>196.23242304557184</v>
      </c>
    </row>
    <row r="166" spans="1:8">
      <c r="A166" s="1">
        <v>37865</v>
      </c>
      <c r="B166">
        <v>192.31450521471899</v>
      </c>
      <c r="C166">
        <f t="shared" si="6"/>
        <v>-7.7138970968121612E-2</v>
      </c>
      <c r="D166">
        <v>-2.2554643452167501E-2</v>
      </c>
      <c r="E166" s="3">
        <f t="shared" si="7"/>
        <v>203.05119938021562</v>
      </c>
      <c r="F166">
        <v>-3.5244204103946603E-2</v>
      </c>
      <c r="G166">
        <f t="shared" si="8"/>
        <v>200.41511287912266</v>
      </c>
    </row>
    <row r="167" spans="1:8">
      <c r="A167" s="1">
        <v>37895</v>
      </c>
      <c r="B167">
        <v>160.562707598142</v>
      </c>
      <c r="C167">
        <f t="shared" si="6"/>
        <v>-0.18044751207161713</v>
      </c>
      <c r="D167">
        <v>-0.156228572130203</v>
      </c>
      <c r="E167" s="3">
        <f t="shared" si="7"/>
        <v>162.26948466509697</v>
      </c>
      <c r="F167">
        <v>-7.3457017540931702E-2</v>
      </c>
      <c r="G167">
        <f t="shared" si="8"/>
        <v>178.18765523178578</v>
      </c>
    </row>
    <row r="168" spans="1:8">
      <c r="A168" s="1">
        <v>37926</v>
      </c>
      <c r="B168">
        <v>137.86528442817001</v>
      </c>
      <c r="C168">
        <f t="shared" si="6"/>
        <v>-0.15240755924415961</v>
      </c>
      <c r="D168">
        <v>-0.124796397984027</v>
      </c>
      <c r="E168" s="3">
        <f t="shared" si="7"/>
        <v>140.52506003933132</v>
      </c>
      <c r="F168">
        <v>-0.115412190556526</v>
      </c>
      <c r="G168">
        <f t="shared" si="8"/>
        <v>142.03181379255346</v>
      </c>
    </row>
    <row r="169" spans="1:8">
      <c r="A169" s="1">
        <v>37956</v>
      </c>
      <c r="B169">
        <v>140.53761102313999</v>
      </c>
      <c r="C169">
        <f t="shared" si="6"/>
        <v>1.9198138497007022E-2</v>
      </c>
      <c r="D169">
        <v>-2.6060476899146999E-2</v>
      </c>
      <c r="E169" s="3">
        <f t="shared" si="7"/>
        <v>134.27244936813537</v>
      </c>
      <c r="F169">
        <v>-0.11821624636649999</v>
      </c>
      <c r="G169">
        <f t="shared" si="8"/>
        <v>121.56736799882188</v>
      </c>
    </row>
    <row r="170" spans="1:8">
      <c r="A170" s="1">
        <v>37987</v>
      </c>
      <c r="B170">
        <v>143.61049377626401</v>
      </c>
      <c r="C170">
        <f t="shared" si="6"/>
        <v>2.1629583315550427E-2</v>
      </c>
      <c r="D170">
        <v>3.0103989411145401E-3</v>
      </c>
      <c r="E170" s="3">
        <f t="shared" si="7"/>
        <v>140.96068529855083</v>
      </c>
      <c r="F170">
        <v>-3.4653309732675497E-2</v>
      </c>
      <c r="G170">
        <f t="shared" si="8"/>
        <v>135.66751765926486</v>
      </c>
    </row>
    <row r="171" spans="1:8">
      <c r="A171" s="1">
        <v>38018</v>
      </c>
      <c r="B171">
        <v>132.396346653465</v>
      </c>
      <c r="C171">
        <f t="shared" si="6"/>
        <v>-8.1304680510117855E-2</v>
      </c>
      <c r="D171">
        <v>-6.2783725559711401E-2</v>
      </c>
      <c r="E171" s="3">
        <f t="shared" si="7"/>
        <v>134.59409194752041</v>
      </c>
      <c r="F171">
        <v>-1.80812012404203E-2</v>
      </c>
      <c r="G171">
        <f t="shared" si="8"/>
        <v>141.01384353805926</v>
      </c>
    </row>
    <row r="172" spans="1:8">
      <c r="A172" s="1">
        <v>38047</v>
      </c>
      <c r="B172">
        <v>138.131334869786</v>
      </c>
      <c r="C172">
        <f t="shared" si="6"/>
        <v>4.2404884660563802E-2</v>
      </c>
      <c r="D172">
        <v>1.5519442968070501E-3</v>
      </c>
      <c r="E172" s="3">
        <f t="shared" si="7"/>
        <v>132.60181840857194</v>
      </c>
      <c r="F172">
        <v>-5.4868697188794604E-3</v>
      </c>
      <c r="G172">
        <f t="shared" si="8"/>
        <v>131.66990514812184</v>
      </c>
    </row>
    <row r="173" spans="1:8">
      <c r="A173" s="1">
        <v>38078</v>
      </c>
      <c r="B173">
        <v>114.07233588859999</v>
      </c>
      <c r="C173">
        <f t="shared" si="6"/>
        <v>-0.19137216202398921</v>
      </c>
      <c r="D173">
        <v>-0.117387980222702</v>
      </c>
      <c r="E173" s="3">
        <f t="shared" si="7"/>
        <v>121.91637646395614</v>
      </c>
      <c r="F173">
        <v>-8.0331750214099801E-2</v>
      </c>
      <c r="G173">
        <f t="shared" si="8"/>
        <v>127.03500298028618</v>
      </c>
    </row>
    <row r="174" spans="1:8">
      <c r="A174" s="1">
        <v>38108</v>
      </c>
      <c r="B174">
        <v>116.40333065192399</v>
      </c>
      <c r="C174">
        <f t="shared" si="6"/>
        <v>2.0228376229106892E-2</v>
      </c>
      <c r="D174">
        <v>-2.73296274244785E-2</v>
      </c>
      <c r="E174" s="3">
        <f t="shared" si="7"/>
        <v>110.95478144932459</v>
      </c>
      <c r="F174">
        <v>-6.1537329107522902E-2</v>
      </c>
      <c r="G174">
        <f t="shared" si="8"/>
        <v>107.05262901295931</v>
      </c>
    </row>
    <row r="175" spans="1:8">
      <c r="A175" s="1">
        <v>38139</v>
      </c>
      <c r="B175">
        <v>104.498635014229</v>
      </c>
      <c r="C175">
        <f t="shared" si="6"/>
        <v>-0.10788713948135165</v>
      </c>
      <c r="D175">
        <v>-6.7428238689899403E-2</v>
      </c>
      <c r="E175" s="3">
        <f t="shared" si="7"/>
        <v>108.55445908842678</v>
      </c>
      <c r="F175">
        <v>-7.0276781916618306E-2</v>
      </c>
      <c r="G175">
        <f t="shared" si="8"/>
        <v>108.22287916933072</v>
      </c>
    </row>
    <row r="176" spans="1:8">
      <c r="A176" s="1">
        <v>38169</v>
      </c>
      <c r="B176">
        <v>98.893082007588006</v>
      </c>
      <c r="C176">
        <f t="shared" si="6"/>
        <v>-5.513472243982509E-2</v>
      </c>
      <c r="D176">
        <v>-4.66665364801883E-2</v>
      </c>
      <c r="E176" s="3">
        <f t="shared" si="7"/>
        <v>99.6220456512076</v>
      </c>
      <c r="F176">
        <v>-4.7509230673313099E-2</v>
      </c>
      <c r="G176">
        <f t="shared" si="8"/>
        <v>99.533985258291636</v>
      </c>
    </row>
    <row r="177" spans="1:7">
      <c r="A177" s="1">
        <v>38200</v>
      </c>
      <c r="B177">
        <v>99.744258179179099</v>
      </c>
      <c r="C177">
        <f t="shared" si="6"/>
        <v>8.5702051847817984E-3</v>
      </c>
      <c r="D177">
        <v>-1.49411251768469E-2</v>
      </c>
      <c r="E177" s="3">
        <f t="shared" si="7"/>
        <v>97.415508090188453</v>
      </c>
      <c r="F177">
        <v>-9.4360314309597002E-2</v>
      </c>
      <c r="G177">
        <f t="shared" si="8"/>
        <v>89.561499706307245</v>
      </c>
    </row>
    <row r="178" spans="1:7">
      <c r="A178" s="1">
        <v>38231</v>
      </c>
      <c r="B178">
        <v>95.6877071175998</v>
      </c>
      <c r="C178">
        <f t="shared" si="6"/>
        <v>-4.1519654063193911E-2</v>
      </c>
      <c r="D178">
        <v>-6.7761398851871393E-2</v>
      </c>
      <c r="E178" s="3">
        <f t="shared" si="7"/>
        <v>92.985447717515711</v>
      </c>
      <c r="F178">
        <v>1.2500501237809601E-2</v>
      </c>
      <c r="G178">
        <f t="shared" si="8"/>
        <v>100.99111140201232</v>
      </c>
    </row>
    <row r="179" spans="1:7">
      <c r="A179" s="1">
        <v>38261</v>
      </c>
      <c r="B179">
        <v>94.232581138182297</v>
      </c>
      <c r="C179">
        <f t="shared" si="6"/>
        <v>-1.5323844198897874E-2</v>
      </c>
      <c r="D179">
        <v>-2.22713500261306E-2</v>
      </c>
      <c r="E179" s="3">
        <f t="shared" si="7"/>
        <v>93.556612699185862</v>
      </c>
      <c r="F179" s="3">
        <v>-1.7008676877594499E-5</v>
      </c>
      <c r="G179">
        <f t="shared" si="8"/>
        <v>95.686079596308275</v>
      </c>
    </row>
    <row r="180" spans="1:7">
      <c r="A180" s="1">
        <v>38292</v>
      </c>
      <c r="B180">
        <v>98.079216994655198</v>
      </c>
      <c r="C180">
        <f t="shared" si="6"/>
        <v>4.0009495084957436E-2</v>
      </c>
      <c r="D180">
        <v>3.3878818154335001E-2</v>
      </c>
      <c r="E180" s="3">
        <f t="shared" si="7"/>
        <v>97.425069618776391</v>
      </c>
      <c r="F180">
        <v>-1.2972773984074501E-2</v>
      </c>
      <c r="G180">
        <f t="shared" si="8"/>
        <v>93.010123161140697</v>
      </c>
    </row>
    <row r="181" spans="1:7">
      <c r="A181" s="1">
        <v>38322</v>
      </c>
      <c r="B181">
        <v>93.107480712142305</v>
      </c>
      <c r="C181">
        <f t="shared" si="6"/>
        <v>-5.2020956401907625E-2</v>
      </c>
      <c r="D181">
        <v>-4.2332973331212997E-2</v>
      </c>
      <c r="E181" s="3">
        <f t="shared" si="7"/>
        <v>93.927232117274201</v>
      </c>
      <c r="F181">
        <v>-1.77357234060764E-2</v>
      </c>
      <c r="G181">
        <f t="shared" si="8"/>
        <v>96.339711130153447</v>
      </c>
    </row>
    <row r="182" spans="1:7">
      <c r="A182" s="1">
        <v>38353</v>
      </c>
      <c r="B182">
        <v>96.966081543959305</v>
      </c>
      <c r="C182">
        <f t="shared" si="6"/>
        <v>4.0606710127672585E-2</v>
      </c>
      <c r="D182">
        <v>8.3020133972167898</v>
      </c>
      <c r="E182" s="3">
        <f t="shared" si="7"/>
        <v>866.08703296545161</v>
      </c>
      <c r="F182">
        <v>-2.62462347745895E-2</v>
      </c>
      <c r="G182">
        <f t="shared" si="8"/>
        <v>90.663759914100851</v>
      </c>
    </row>
    <row r="183" spans="1:7">
      <c r="A183" s="1">
        <v>38384</v>
      </c>
      <c r="B183">
        <v>89.832592409670198</v>
      </c>
      <c r="C183">
        <f t="shared" si="6"/>
        <v>-7.6413388660193426E-2</v>
      </c>
      <c r="D183">
        <v>-13.2514381408691</v>
      </c>
      <c r="E183" s="3">
        <f t="shared" si="7"/>
        <v>-1187.9739497982864</v>
      </c>
      <c r="F183">
        <v>2.4754721671342801E-2</v>
      </c>
      <c r="G183">
        <f t="shared" si="8"/>
        <v>99.366449904140751</v>
      </c>
    </row>
    <row r="184" spans="1:7">
      <c r="A184" s="1">
        <v>38412</v>
      </c>
      <c r="B184">
        <v>95.149772358496904</v>
      </c>
      <c r="C184">
        <f t="shared" si="6"/>
        <v>5.7504347402343114E-2</v>
      </c>
      <c r="D184">
        <v>4.93719005584716</v>
      </c>
      <c r="E184" s="3">
        <f t="shared" si="7"/>
        <v>533.35317434566491</v>
      </c>
      <c r="F184">
        <v>-1.0743501596152699E-2</v>
      </c>
      <c r="G184">
        <f t="shared" si="8"/>
        <v>88.867475809730365</v>
      </c>
    </row>
    <row r="185" spans="1:7">
      <c r="A185" s="1">
        <v>38443</v>
      </c>
      <c r="B185">
        <v>106.103149708644</v>
      </c>
      <c r="C185">
        <f t="shared" si="6"/>
        <v>0.10895953011542758</v>
      </c>
      <c r="D185">
        <v>6.4267643028870203E-4</v>
      </c>
      <c r="E185" s="3">
        <f t="shared" si="7"/>
        <v>95.210922874539051</v>
      </c>
      <c r="F185">
        <v>2.7207104722037901E-4</v>
      </c>
      <c r="G185">
        <f t="shared" si="8"/>
        <v>95.175659856705266</v>
      </c>
    </row>
    <row r="186" spans="1:7">
      <c r="A186" s="1">
        <v>38473</v>
      </c>
      <c r="B186">
        <v>89.913998206982697</v>
      </c>
      <c r="C186">
        <f t="shared" si="6"/>
        <v>-0.16555809340693983</v>
      </c>
      <c r="D186">
        <v>-1.7822145018726501E-3</v>
      </c>
      <c r="E186" s="3">
        <f t="shared" si="7"/>
        <v>105.91405113653889</v>
      </c>
      <c r="F186">
        <v>-2.0484309643506999E-3</v>
      </c>
      <c r="G186">
        <f t="shared" si="8"/>
        <v>105.88580473136567</v>
      </c>
    </row>
    <row r="187" spans="1:7">
      <c r="A187" s="1">
        <v>38504</v>
      </c>
      <c r="B187">
        <v>85.257613813016306</v>
      </c>
      <c r="C187">
        <f t="shared" si="6"/>
        <v>-5.3176214233769059E-2</v>
      </c>
      <c r="D187">
        <v>-1.25271046999841E-3</v>
      </c>
      <c r="E187" s="3">
        <f t="shared" si="7"/>
        <v>89.801362000029386</v>
      </c>
      <c r="F187">
        <v>-6.1588833341374896E-4</v>
      </c>
      <c r="G187">
        <f t="shared" si="8"/>
        <v>89.858621224476437</v>
      </c>
    </row>
    <row r="188" spans="1:7">
      <c r="A188" s="1">
        <v>38534</v>
      </c>
      <c r="B188">
        <v>88.028887178212202</v>
      </c>
      <c r="C188">
        <f t="shared" si="6"/>
        <v>3.1987600235125591E-2</v>
      </c>
      <c r="D188">
        <v>-0.152742460370063</v>
      </c>
      <c r="E188" s="3">
        <f t="shared" si="7"/>
        <v>72.235156113935531</v>
      </c>
      <c r="F188">
        <v>0.17256152629852201</v>
      </c>
      <c r="G188">
        <f t="shared" si="8"/>
        <v>99.969797781160352</v>
      </c>
    </row>
    <row r="189" spans="1:7">
      <c r="A189" s="1">
        <v>38565</v>
      </c>
      <c r="B189">
        <v>86.6332759846307</v>
      </c>
      <c r="C189">
        <f t="shared" si="6"/>
        <v>-1.5981032991630784E-2</v>
      </c>
      <c r="D189">
        <v>0.13067243993282299</v>
      </c>
      <c r="E189" s="3">
        <f t="shared" si="7"/>
        <v>99.53183665036039</v>
      </c>
      <c r="F189">
        <v>-0.14387629926204601</v>
      </c>
      <c r="G189">
        <f t="shared" si="8"/>
        <v>75.363616662854852</v>
      </c>
    </row>
    <row r="190" spans="1:7">
      <c r="A190" s="1">
        <v>38596</v>
      </c>
      <c r="B190">
        <v>87.647416125669395</v>
      </c>
      <c r="C190">
        <f t="shared" si="6"/>
        <v>1.1638140467864488E-2</v>
      </c>
      <c r="D190">
        <v>-4.7736570239067001E-2</v>
      </c>
      <c r="E190" s="3">
        <f t="shared" si="7"/>
        <v>82.497700520549898</v>
      </c>
      <c r="F190">
        <v>-9.8491810262203203E-2</v>
      </c>
      <c r="G190">
        <f t="shared" si="8"/>
        <v>78.100607803959363</v>
      </c>
    </row>
    <row r="191" spans="1:7">
      <c r="A191" s="1">
        <v>38626</v>
      </c>
      <c r="B191">
        <v>87.025038121472406</v>
      </c>
      <c r="C191">
        <f t="shared" si="6"/>
        <v>-7.1262597272037098E-3</v>
      </c>
      <c r="D191">
        <v>-1.9021781627088701E-3</v>
      </c>
      <c r="E191" s="3">
        <f t="shared" si="7"/>
        <v>87.480695124697291</v>
      </c>
      <c r="F191">
        <v>1.55241636093705E-4</v>
      </c>
      <c r="G191">
        <f t="shared" si="8"/>
        <v>87.661022653948123</v>
      </c>
    </row>
    <row r="192" spans="1:7">
      <c r="A192" s="1">
        <v>38657</v>
      </c>
      <c r="B192">
        <v>87.984637880127096</v>
      </c>
      <c r="C192">
        <f t="shared" si="6"/>
        <v>1.0966357945786598E-2</v>
      </c>
      <c r="D192">
        <v>4.1439160122536101E-4</v>
      </c>
      <c r="E192" s="3">
        <f t="shared" si="7"/>
        <v>87.061100566366264</v>
      </c>
      <c r="F192">
        <v>-9.8279898520559007E-4</v>
      </c>
      <c r="G192">
        <f t="shared" si="8"/>
        <v>86.939510002319139</v>
      </c>
    </row>
    <row r="193" spans="1:8">
      <c r="A193" s="1">
        <v>38687</v>
      </c>
      <c r="B193">
        <v>86.797380952396907</v>
      </c>
      <c r="C193">
        <f t="shared" si="6"/>
        <v>-1.3585781843563183E-2</v>
      </c>
      <c r="D193">
        <v>-4.2981145088560798E-4</v>
      </c>
      <c r="E193" s="3">
        <f t="shared" si="7"/>
        <v>87.946821075264197</v>
      </c>
      <c r="F193">
        <v>-1.09004043042659E-3</v>
      </c>
      <c r="G193">
        <f t="shared" si="8"/>
        <v>87.888731067581318</v>
      </c>
    </row>
    <row r="194" spans="1:8">
      <c r="A194" s="1">
        <v>38718</v>
      </c>
      <c r="B194">
        <v>92.083130296409806</v>
      </c>
      <c r="C194">
        <f t="shared" si="6"/>
        <v>5.9115311383958868E-2</v>
      </c>
      <c r="D194">
        <v>4.3583557009696898E-2</v>
      </c>
      <c r="E194" s="3">
        <f t="shared" si="7"/>
        <v>90.580319553428083</v>
      </c>
      <c r="F194">
        <v>7.9278141260147095E-2</v>
      </c>
      <c r="G194">
        <f t="shared" si="8"/>
        <v>93.678515980551822</v>
      </c>
    </row>
    <row r="195" spans="1:8">
      <c r="A195" s="1">
        <v>38749</v>
      </c>
      <c r="B195">
        <v>92.920982697834603</v>
      </c>
      <c r="C195">
        <f t="shared" si="6"/>
        <v>9.057724351524854E-3</v>
      </c>
      <c r="D195">
        <v>6.5818068105727402E-4</v>
      </c>
      <c r="E195" s="3">
        <f t="shared" si="7"/>
        <v>92.143737633822184</v>
      </c>
      <c r="F195">
        <v>-2.4207513779401699E-2</v>
      </c>
      <c r="G195">
        <f t="shared" si="8"/>
        <v>89.85402665090902</v>
      </c>
    </row>
    <row r="196" spans="1:8">
      <c r="A196" s="1">
        <v>38777</v>
      </c>
      <c r="B196">
        <v>94.703407210399902</v>
      </c>
      <c r="C196">
        <f t="shared" ref="C196:C259" si="9">LN(B196)-LN(B195)</f>
        <v>1.9000494948219426E-2</v>
      </c>
      <c r="D196">
        <v>2.1894942969083699E-2</v>
      </c>
      <c r="E196" s="3">
        <f t="shared" si="7"/>
        <v>94.955482314634907</v>
      </c>
      <c r="F196">
        <v>1.10660446807742E-2</v>
      </c>
      <c r="G196">
        <f t="shared" si="8"/>
        <v>93.94925044415028</v>
      </c>
    </row>
    <row r="197" spans="1:8">
      <c r="A197" s="1">
        <v>38808</v>
      </c>
      <c r="B197">
        <v>92.718161601543002</v>
      </c>
      <c r="C197">
        <f t="shared" si="9"/>
        <v>-2.1185607121173788E-2</v>
      </c>
      <c r="D197">
        <v>-1.2227517552673799E-2</v>
      </c>
      <c r="E197" s="3">
        <f t="shared" ref="E197:E260" si="10">B196*D197+B196</f>
        <v>93.545419636436719</v>
      </c>
      <c r="F197">
        <v>-4.8745842650532696E-3</v>
      </c>
      <c r="G197">
        <f t="shared" si="8"/>
        <v>94.241767471765158</v>
      </c>
      <c r="H197" s="3"/>
    </row>
    <row r="198" spans="1:8">
      <c r="A198" s="1">
        <v>38838</v>
      </c>
      <c r="B198">
        <v>88.589404874909405</v>
      </c>
      <c r="C198">
        <f t="shared" si="9"/>
        <v>-4.5552104758438183E-2</v>
      </c>
      <c r="D198">
        <v>-1.8937841057777401E-2</v>
      </c>
      <c r="E198" s="3">
        <f t="shared" si="10"/>
        <v>90.96227979396366</v>
      </c>
      <c r="F198">
        <v>-2.29249019175767E-2</v>
      </c>
      <c r="G198">
        <f t="shared" si="8"/>
        <v>90.592606840849598</v>
      </c>
    </row>
    <row r="199" spans="1:8">
      <c r="A199" s="1">
        <v>38869</v>
      </c>
      <c r="B199">
        <v>85.767017679441196</v>
      </c>
      <c r="C199">
        <f t="shared" si="9"/>
        <v>-3.2377743396500236E-2</v>
      </c>
      <c r="D199">
        <v>-1.50511693209409E-2</v>
      </c>
      <c r="E199" s="3">
        <f t="shared" si="10"/>
        <v>87.25603074209576</v>
      </c>
      <c r="F199">
        <v>-1.8417038023471801E-2</v>
      </c>
      <c r="G199">
        <f t="shared" ref="G199:G262" si="11">B198*F199+B198</f>
        <v>86.957850436851459</v>
      </c>
      <c r="H199" s="3"/>
    </row>
    <row r="200" spans="1:8">
      <c r="A200" s="1">
        <v>38899</v>
      </c>
      <c r="B200">
        <v>88.532795485998903</v>
      </c>
      <c r="C200">
        <f t="shared" si="9"/>
        <v>3.1738530573684365E-2</v>
      </c>
      <c r="D200">
        <v>-9.3843996524810694E-2</v>
      </c>
      <c r="E200" s="3">
        <f t="shared" si="10"/>
        <v>77.718297970388335</v>
      </c>
      <c r="F200">
        <v>-4.3348353356122901E-3</v>
      </c>
      <c r="G200">
        <f t="shared" si="11"/>
        <v>85.395231780574264</v>
      </c>
    </row>
    <row r="201" spans="1:8">
      <c r="A201" s="1">
        <v>38930</v>
      </c>
      <c r="B201">
        <v>84.669058511996397</v>
      </c>
      <c r="C201">
        <f t="shared" si="9"/>
        <v>-4.4622825739782712E-2</v>
      </c>
      <c r="D201">
        <v>0.13833537697792</v>
      </c>
      <c r="E201" s="3">
        <f t="shared" si="10"/>
        <v>100.78001312446365</v>
      </c>
      <c r="F201">
        <v>-2.1127952262759198E-2</v>
      </c>
      <c r="G201">
        <f t="shared" si="11"/>
        <v>86.6622788092821</v>
      </c>
    </row>
    <row r="202" spans="1:8">
      <c r="A202" s="1">
        <v>38961</v>
      </c>
      <c r="B202">
        <v>85.996843946304693</v>
      </c>
      <c r="C202">
        <f t="shared" si="9"/>
        <v>1.5560369188237111E-2</v>
      </c>
      <c r="D202">
        <v>-7.4424400925636194E-2</v>
      </c>
      <c r="E202" s="3">
        <f t="shared" si="10"/>
        <v>78.367614555303433</v>
      </c>
      <c r="F202">
        <v>-4.4702310115098901E-3</v>
      </c>
      <c r="G202">
        <f t="shared" si="11"/>
        <v>84.290568260920722</v>
      </c>
    </row>
    <row r="203" spans="1:8">
      <c r="A203" s="1">
        <v>38991</v>
      </c>
      <c r="B203">
        <v>100.756361394205</v>
      </c>
      <c r="C203">
        <f t="shared" si="9"/>
        <v>0.15839474194132741</v>
      </c>
      <c r="D203">
        <v>0.141484960913658</v>
      </c>
      <c r="E203" s="3">
        <f t="shared" si="10"/>
        <v>98.164104050745564</v>
      </c>
      <c r="F203">
        <v>0.128293827176094</v>
      </c>
      <c r="G203">
        <f t="shared" si="11"/>
        <v>97.029708181241432</v>
      </c>
    </row>
    <row r="204" spans="1:8">
      <c r="A204" s="1">
        <v>39022</v>
      </c>
      <c r="B204">
        <v>107.624851409895</v>
      </c>
      <c r="C204">
        <f t="shared" si="9"/>
        <v>6.5946242896134599E-2</v>
      </c>
      <c r="D204">
        <v>5.9933561831712702E-2</v>
      </c>
      <c r="E204" s="3">
        <f t="shared" si="10"/>
        <v>106.79504900976298</v>
      </c>
      <c r="F204">
        <v>4.87467683851718E-2</v>
      </c>
      <c r="G204">
        <f t="shared" si="11"/>
        <v>105.66790840642098</v>
      </c>
    </row>
    <row r="205" spans="1:8">
      <c r="A205" s="1">
        <v>39052</v>
      </c>
      <c r="B205">
        <v>104.18495586858199</v>
      </c>
      <c r="C205">
        <f t="shared" si="9"/>
        <v>-3.2483840683775966E-2</v>
      </c>
      <c r="D205">
        <v>-1.41972741112113E-2</v>
      </c>
      <c r="E205" s="3">
        <f t="shared" si="10"/>
        <v>106.09687189325034</v>
      </c>
      <c r="F205">
        <v>1.01806595921516E-2</v>
      </c>
      <c r="G205">
        <f t="shared" si="11"/>
        <v>108.72054338575504</v>
      </c>
    </row>
    <row r="206" spans="1:8">
      <c r="A206" s="1">
        <v>39083</v>
      </c>
      <c r="B206">
        <v>115.25401098724301</v>
      </c>
      <c r="C206">
        <f t="shared" si="9"/>
        <v>0.10097074232850023</v>
      </c>
      <c r="D206">
        <v>-3.43423406593501E-3</v>
      </c>
      <c r="E206" s="3">
        <f t="shared" si="10"/>
        <v>103.82716034398017</v>
      </c>
      <c r="F206">
        <v>4.8179361969232497E-2</v>
      </c>
      <c r="G206">
        <f t="shared" si="11"/>
        <v>109.20452056912292</v>
      </c>
    </row>
    <row r="207" spans="1:8">
      <c r="A207" s="1">
        <v>39114</v>
      </c>
      <c r="B207">
        <v>113.498312077208</v>
      </c>
      <c r="C207">
        <f t="shared" si="9"/>
        <v>-1.5350518519086975E-2</v>
      </c>
      <c r="D207">
        <v>1.1949265375733299E-2</v>
      </c>
      <c r="E207" s="3">
        <f t="shared" si="10"/>
        <v>116.63121175014726</v>
      </c>
      <c r="F207">
        <v>2.25405730307102E-2</v>
      </c>
      <c r="G207">
        <f t="shared" si="11"/>
        <v>117.85190243898323</v>
      </c>
    </row>
    <row r="208" spans="1:8">
      <c r="A208" s="1">
        <v>39142</v>
      </c>
      <c r="B208">
        <v>96.635785846663893</v>
      </c>
      <c r="C208">
        <f t="shared" si="9"/>
        <v>-0.16083883872784455</v>
      </c>
      <c r="D208">
        <v>3.1687434762716203E-2</v>
      </c>
      <c r="E208" s="3">
        <f t="shared" si="10"/>
        <v>117.09478243683293</v>
      </c>
      <c r="F208">
        <v>-3.05174700915813E-2</v>
      </c>
      <c r="G208">
        <f t="shared" si="11"/>
        <v>110.03463073294684</v>
      </c>
    </row>
    <row r="209" spans="1:8">
      <c r="A209" s="1">
        <v>39173</v>
      </c>
      <c r="B209">
        <v>89.512665324864898</v>
      </c>
      <c r="C209">
        <f t="shared" si="9"/>
        <v>-7.6568999237987434E-2</v>
      </c>
      <c r="D209">
        <v>-4.82229180634021E-2</v>
      </c>
      <c r="E209" s="3">
        <f t="shared" si="10"/>
        <v>91.975726263787749</v>
      </c>
      <c r="F209">
        <v>-8.26886966824531E-2</v>
      </c>
      <c r="G209">
        <f t="shared" si="11"/>
        <v>88.645098662118613</v>
      </c>
    </row>
    <row r="210" spans="1:8">
      <c r="A210" s="1">
        <v>39203</v>
      </c>
      <c r="B210">
        <v>82.811657081694705</v>
      </c>
      <c r="C210">
        <f t="shared" si="9"/>
        <v>-7.7811289785993942E-2</v>
      </c>
      <c r="D210">
        <v>-0.126618236303329</v>
      </c>
      <c r="E210" s="3">
        <f t="shared" si="10"/>
        <v>78.178729514620358</v>
      </c>
      <c r="F210">
        <v>-9.6699886023998205E-2</v>
      </c>
      <c r="G210">
        <f t="shared" si="11"/>
        <v>80.856800790246169</v>
      </c>
    </row>
    <row r="211" spans="1:8">
      <c r="A211" s="1">
        <v>39234</v>
      </c>
      <c r="B211">
        <v>81.304940651842401</v>
      </c>
      <c r="C211">
        <f t="shared" si="9"/>
        <v>-1.8362052159926812E-2</v>
      </c>
      <c r="D211">
        <v>-7.4303895235061604E-2</v>
      </c>
      <c r="E211" s="3">
        <f t="shared" si="10"/>
        <v>76.658428389654617</v>
      </c>
      <c r="F211">
        <v>-6.9756455719470895E-2</v>
      </c>
      <c r="G211">
        <f t="shared" si="11"/>
        <v>77.035009391419464</v>
      </c>
    </row>
    <row r="212" spans="1:8">
      <c r="A212" s="1">
        <v>39264</v>
      </c>
      <c r="B212">
        <v>79.891482510243605</v>
      </c>
      <c r="C212">
        <f t="shared" si="9"/>
        <v>-1.7537540117125161E-2</v>
      </c>
      <c r="D212">
        <v>-1.8069990619551301E-4</v>
      </c>
      <c r="E212" s="3">
        <f t="shared" si="10"/>
        <v>81.290248856693381</v>
      </c>
      <c r="F212">
        <v>-1.51126030832529E-2</v>
      </c>
      <c r="G212">
        <f t="shared" si="11"/>
        <v>80.076211355063677</v>
      </c>
    </row>
    <row r="213" spans="1:8">
      <c r="A213" s="1">
        <v>39295</v>
      </c>
      <c r="B213">
        <v>85.671138105381701</v>
      </c>
      <c r="C213">
        <f t="shared" si="9"/>
        <v>6.9846745432076141E-2</v>
      </c>
      <c r="D213">
        <v>-2.7858142275363198E-3</v>
      </c>
      <c r="E213" s="3">
        <f t="shared" si="10"/>
        <v>79.668919681607605</v>
      </c>
      <c r="F213">
        <v>1.732974126935E-2</v>
      </c>
      <c r="G213">
        <f t="shared" si="11"/>
        <v>81.275981231770928</v>
      </c>
    </row>
    <row r="214" spans="1:8">
      <c r="A214" s="1">
        <v>39326</v>
      </c>
      <c r="B214">
        <v>87.184168722604895</v>
      </c>
      <c r="C214">
        <f t="shared" si="9"/>
        <v>1.7506772438595775E-2</v>
      </c>
      <c r="D214">
        <v>-5.1893730415031303E-4</v>
      </c>
      <c r="E214" s="3">
        <f t="shared" si="10"/>
        <v>85.626680155929805</v>
      </c>
      <c r="F214">
        <v>-5.7025901041924901E-3</v>
      </c>
      <c r="G214">
        <f t="shared" si="11"/>
        <v>85.182590721007045</v>
      </c>
    </row>
    <row r="215" spans="1:8">
      <c r="A215" s="1">
        <v>39356</v>
      </c>
      <c r="B215">
        <v>86.135656636992096</v>
      </c>
      <c r="C215">
        <f t="shared" si="9"/>
        <v>-1.2099306869965076E-2</v>
      </c>
      <c r="D215">
        <v>4.3421643786132301E-3</v>
      </c>
      <c r="E215" s="3">
        <f t="shared" si="10"/>
        <v>87.562736714411201</v>
      </c>
      <c r="F215">
        <v>1.9785432144999501E-2</v>
      </c>
      <c r="G215">
        <f t="shared" si="11"/>
        <v>88.909145176984183</v>
      </c>
    </row>
    <row r="216" spans="1:8">
      <c r="A216" s="1">
        <v>39387</v>
      </c>
      <c r="B216">
        <v>92.493020853311194</v>
      </c>
      <c r="C216">
        <f t="shared" si="9"/>
        <v>7.1209735221139603E-2</v>
      </c>
      <c r="D216">
        <v>-1.1740648187696901E-2</v>
      </c>
      <c r="E216" s="3">
        <f t="shared" si="10"/>
        <v>85.124368196000916</v>
      </c>
      <c r="F216">
        <v>1.8382469192147199E-2</v>
      </c>
      <c r="G216">
        <f t="shared" si="11"/>
        <v>87.719042691466967</v>
      </c>
    </row>
    <row r="217" spans="1:8">
      <c r="A217" s="1">
        <v>39417</v>
      </c>
      <c r="B217">
        <v>81.507521791693406</v>
      </c>
      <c r="C217">
        <f t="shared" si="9"/>
        <v>-0.12643788352659602</v>
      </c>
      <c r="D217">
        <v>3.6215666681528001E-2</v>
      </c>
      <c r="E217" s="3">
        <f t="shared" si="10"/>
        <v>95.842717266902326</v>
      </c>
      <c r="F217">
        <v>-9.3507170677185007E-3</v>
      </c>
      <c r="G217">
        <f t="shared" si="11"/>
        <v>91.628144784573294</v>
      </c>
    </row>
    <row r="218" spans="1:8">
      <c r="A218" s="1">
        <v>39448</v>
      </c>
      <c r="B218">
        <v>83.661038926666507</v>
      </c>
      <c r="C218">
        <f t="shared" si="9"/>
        <v>2.6078076465860356E-2</v>
      </c>
      <c r="D218">
        <v>2.74454038590192E-2</v>
      </c>
      <c r="E218" s="3">
        <f t="shared" si="10"/>
        <v>83.744528644814238</v>
      </c>
      <c r="F218">
        <v>-1.6689796000719001E-2</v>
      </c>
      <c r="G218">
        <f t="shared" si="11"/>
        <v>80.14717788046589</v>
      </c>
    </row>
    <row r="219" spans="1:8">
      <c r="A219" s="1">
        <v>39479</v>
      </c>
      <c r="B219">
        <v>84.483947445061801</v>
      </c>
      <c r="C219">
        <f t="shared" si="9"/>
        <v>9.7881608753240812E-3</v>
      </c>
      <c r="D219">
        <v>5.4496429860591798E-2</v>
      </c>
      <c r="E219" s="3">
        <f t="shared" si="10"/>
        <v>88.220266866597825</v>
      </c>
      <c r="F219">
        <v>-3.6950975656509399E-2</v>
      </c>
      <c r="G219">
        <f t="shared" si="11"/>
        <v>80.569681913888971</v>
      </c>
    </row>
    <row r="220" spans="1:8">
      <c r="A220" s="1">
        <v>39508</v>
      </c>
      <c r="B220">
        <v>83.440110250621601</v>
      </c>
      <c r="C220">
        <f t="shared" si="9"/>
        <v>-1.2432413244163776E-2</v>
      </c>
      <c r="D220">
        <v>-0.115365870296955</v>
      </c>
      <c r="E220" s="3">
        <f t="shared" si="10"/>
        <v>74.737383321940044</v>
      </c>
      <c r="F220">
        <v>2.0216722041368401E-2</v>
      </c>
      <c r="G220">
        <f t="shared" si="11"/>
        <v>86.191935927516198</v>
      </c>
    </row>
    <row r="221" spans="1:8">
      <c r="A221" s="1">
        <v>39539</v>
      </c>
      <c r="B221">
        <v>84.647430014073194</v>
      </c>
      <c r="C221">
        <f t="shared" si="9"/>
        <v>1.4365615969551548E-2</v>
      </c>
      <c r="D221">
        <v>1.8472829833626699E-2</v>
      </c>
      <c r="E221" s="3">
        <f t="shared" si="10"/>
        <v>84.981485208580381</v>
      </c>
      <c r="F221">
        <v>5.2643655799329203E-3</v>
      </c>
      <c r="G221">
        <f t="shared" si="11"/>
        <v>83.879369495010778</v>
      </c>
    </row>
    <row r="222" spans="1:8">
      <c r="A222" s="1">
        <v>39569</v>
      </c>
      <c r="B222">
        <v>85.215848010275494</v>
      </c>
      <c r="C222">
        <f t="shared" si="9"/>
        <v>6.6926780705518496E-3</v>
      </c>
      <c r="D222">
        <v>4.0785875171422898E-3</v>
      </c>
      <c r="E222" s="3">
        <f t="shared" si="10"/>
        <v>84.992671965486764</v>
      </c>
      <c r="F222">
        <v>7.0115365087985897E-3</v>
      </c>
      <c r="G222">
        <f t="shared" si="11"/>
        <v>85.240938559992841</v>
      </c>
      <c r="H222" s="3"/>
    </row>
    <row r="223" spans="1:8">
      <c r="A223" s="1">
        <v>39600</v>
      </c>
      <c r="B223">
        <v>85.572571327412504</v>
      </c>
      <c r="C223">
        <f t="shared" si="9"/>
        <v>4.1773773335416209E-3</v>
      </c>
      <c r="D223">
        <v>-7.3614069260656799E-3</v>
      </c>
      <c r="E223" s="3">
        <f t="shared" si="10"/>
        <v>84.588539476522087</v>
      </c>
      <c r="F223">
        <v>2.9141092672944E-3</v>
      </c>
      <c r="G223">
        <f t="shared" si="11"/>
        <v>85.464176302682588</v>
      </c>
    </row>
    <row r="224" spans="1:8">
      <c r="A224" s="1">
        <v>39630</v>
      </c>
      <c r="B224">
        <v>87.736652103911595</v>
      </c>
      <c r="C224">
        <f t="shared" si="9"/>
        <v>2.4974934618253286E-2</v>
      </c>
      <c r="D224">
        <v>2.99115031957626E-2</v>
      </c>
      <c r="E224" s="3">
        <f t="shared" si="10"/>
        <v>88.132175568142031</v>
      </c>
      <c r="F224">
        <v>-0.15560118854045801</v>
      </c>
      <c r="G224">
        <f t="shared" si="11"/>
        <v>72.257377522403999</v>
      </c>
    </row>
    <row r="225" spans="1:8">
      <c r="A225" s="1">
        <v>39661</v>
      </c>
      <c r="B225">
        <v>100.91943860017901</v>
      </c>
      <c r="C225">
        <f t="shared" si="9"/>
        <v>0.13998282293740427</v>
      </c>
      <c r="D225">
        <v>8.4363102912902804E-2</v>
      </c>
      <c r="E225" s="3">
        <f t="shared" si="10"/>
        <v>95.138388314587445</v>
      </c>
      <c r="F225">
        <v>6.5383255481719901E-2</v>
      </c>
      <c r="G225">
        <f t="shared" si="11"/>
        <v>93.473160043532431</v>
      </c>
    </row>
    <row r="226" spans="1:8">
      <c r="A226" s="1">
        <v>39692</v>
      </c>
      <c r="B226">
        <v>99.757868559615105</v>
      </c>
      <c r="C226">
        <f t="shared" si="9"/>
        <v>-1.1576625475074209E-2</v>
      </c>
      <c r="D226">
        <v>7.1508954279124702E-3</v>
      </c>
      <c r="E226" s="3">
        <f t="shared" si="10"/>
        <v>101.64110295225252</v>
      </c>
      <c r="F226">
        <v>0.21164344251155801</v>
      </c>
      <c r="G226">
        <f t="shared" si="11"/>
        <v>122.2783760018547</v>
      </c>
    </row>
    <row r="227" spans="1:8">
      <c r="A227" s="1">
        <v>39722</v>
      </c>
      <c r="B227">
        <v>105.12072341938099</v>
      </c>
      <c r="C227">
        <f t="shared" si="9"/>
        <v>5.2363501093999787E-2</v>
      </c>
      <c r="D227">
        <v>-1.7003128305077501E-3</v>
      </c>
      <c r="E227" s="3">
        <f t="shared" si="10"/>
        <v>99.588248975759086</v>
      </c>
      <c r="F227">
        <v>3.7419699132442398E-2</v>
      </c>
      <c r="G227">
        <f t="shared" si="11"/>
        <v>103.49077798720964</v>
      </c>
    </row>
    <row r="228" spans="1:8">
      <c r="A228" s="1">
        <v>39753</v>
      </c>
      <c r="B228">
        <v>103.625108821163</v>
      </c>
      <c r="C228">
        <f t="shared" si="9"/>
        <v>-1.4329772957226261E-2</v>
      </c>
      <c r="D228">
        <v>2.41125933825969E-2</v>
      </c>
      <c r="E228" s="3">
        <f t="shared" si="10"/>
        <v>107.65545667927697</v>
      </c>
      <c r="F228">
        <v>0.11035668849945</v>
      </c>
      <c r="G228">
        <f t="shared" si="11"/>
        <v>116.72149834861047</v>
      </c>
    </row>
    <row r="229" spans="1:8">
      <c r="A229" s="1">
        <v>39783</v>
      </c>
      <c r="B229">
        <v>97.836560276593303</v>
      </c>
      <c r="C229">
        <f t="shared" si="9"/>
        <v>-5.7481329454906138E-2</v>
      </c>
      <c r="D229">
        <v>3.8677446544170303E-2</v>
      </c>
      <c r="E229" s="3">
        <f t="shared" si="10"/>
        <v>107.63306342822736</v>
      </c>
      <c r="F229">
        <v>-8.6686648428440094E-2</v>
      </c>
      <c r="G229">
        <f t="shared" si="11"/>
        <v>94.64219544442399</v>
      </c>
    </row>
    <row r="230" spans="1:8">
      <c r="A230" s="1">
        <v>39814</v>
      </c>
      <c r="B230">
        <v>102.296516343945</v>
      </c>
      <c r="C230">
        <f t="shared" si="9"/>
        <v>4.4577284899967928E-2</v>
      </c>
      <c r="D230">
        <v>1.04318058490753</v>
      </c>
      <c r="E230" s="3">
        <f t="shared" si="10"/>
        <v>199.8977604512707</v>
      </c>
      <c r="F230">
        <v>-1.82133726775646E-2</v>
      </c>
      <c r="G230">
        <f t="shared" si="11"/>
        <v>96.054626542784703</v>
      </c>
    </row>
    <row r="231" spans="1:8">
      <c r="A231" s="1">
        <v>39845</v>
      </c>
      <c r="B231">
        <v>95.829555671999501</v>
      </c>
      <c r="C231">
        <f t="shared" si="9"/>
        <v>-6.530446732632722E-2</v>
      </c>
      <c r="D231">
        <v>-0.92344570159912098</v>
      </c>
      <c r="E231" s="3">
        <f t="shared" si="10"/>
        <v>7.8312380375647592</v>
      </c>
      <c r="F231">
        <v>-3.1548608094453798E-2</v>
      </c>
      <c r="G231">
        <f t="shared" si="11"/>
        <v>99.069203640382</v>
      </c>
      <c r="H231" s="3"/>
    </row>
    <row r="232" spans="1:8">
      <c r="A232" s="1">
        <v>39873</v>
      </c>
      <c r="B232">
        <v>97.147777461877297</v>
      </c>
      <c r="C232">
        <f t="shared" si="9"/>
        <v>1.3662146457453339E-2</v>
      </c>
      <c r="D232">
        <v>-0.15731818974018</v>
      </c>
      <c r="E232" s="3">
        <f t="shared" si="10"/>
        <v>80.753823450074748</v>
      </c>
      <c r="F232">
        <v>1.2178670614957801E-2</v>
      </c>
      <c r="G232">
        <f t="shared" si="11"/>
        <v>96.996632265706538</v>
      </c>
      <c r="H232" s="3"/>
    </row>
    <row r="233" spans="1:8">
      <c r="A233" s="1">
        <v>39904</v>
      </c>
      <c r="B233">
        <v>92.448461156623594</v>
      </c>
      <c r="C233">
        <f t="shared" si="9"/>
        <v>-4.958198562239069E-2</v>
      </c>
      <c r="D233">
        <v>-1.307222366333</v>
      </c>
      <c r="E233" s="3">
        <f t="shared" si="10"/>
        <v>-29.845970075829626</v>
      </c>
      <c r="F233">
        <v>-2.64601060189306E-3</v>
      </c>
      <c r="G233">
        <f t="shared" si="11"/>
        <v>96.890723412762824</v>
      </c>
    </row>
    <row r="234" spans="1:8">
      <c r="A234" s="1">
        <v>39934</v>
      </c>
      <c r="B234">
        <v>97.555571851083997</v>
      </c>
      <c r="C234">
        <f t="shared" si="9"/>
        <v>5.3770870784711988E-2</v>
      </c>
      <c r="D234">
        <v>1.1558139324188199</v>
      </c>
      <c r="E234" s="3">
        <f t="shared" si="10"/>
        <v>199.30168059212923</v>
      </c>
      <c r="F234">
        <v>-9.9193910136818799E-3</v>
      </c>
      <c r="G234">
        <f t="shared" si="11"/>
        <v>91.531428721797866</v>
      </c>
    </row>
    <row r="235" spans="1:8">
      <c r="A235" s="1">
        <v>39965</v>
      </c>
      <c r="B235">
        <v>98.358037864212207</v>
      </c>
      <c r="C235">
        <f t="shared" si="9"/>
        <v>8.1920852981882675E-3</v>
      </c>
      <c r="D235">
        <v>0.12772203981876301</v>
      </c>
      <c r="E235" s="3">
        <f t="shared" si="10"/>
        <v>110.01556848359034</v>
      </c>
      <c r="F235">
        <v>-1.11209470778703E-2</v>
      </c>
      <c r="G235">
        <f t="shared" si="11"/>
        <v>96.470661499376718</v>
      </c>
    </row>
    <row r="236" spans="1:8">
      <c r="A236" s="1">
        <v>39995</v>
      </c>
      <c r="B236">
        <v>107.87714764143399</v>
      </c>
      <c r="C236">
        <f t="shared" si="9"/>
        <v>9.2378789181107202E-2</v>
      </c>
      <c r="D236">
        <v>-0.320903480052948</v>
      </c>
      <c r="E236" s="3">
        <f t="shared" si="10"/>
        <v>66.794601222406882</v>
      </c>
      <c r="F236">
        <v>0.16741441190242701</v>
      </c>
      <c r="G236">
        <f t="shared" si="11"/>
        <v>114.82459092912595</v>
      </c>
    </row>
    <row r="237" spans="1:8">
      <c r="A237" s="1">
        <v>40026</v>
      </c>
      <c r="B237">
        <v>103.878743633696</v>
      </c>
      <c r="C237">
        <f t="shared" si="9"/>
        <v>-3.776876549552366E-2</v>
      </c>
      <c r="D237">
        <v>0.20661623775959001</v>
      </c>
      <c r="E237" s="3">
        <f t="shared" si="10"/>
        <v>130.16631802734292</v>
      </c>
      <c r="F237">
        <v>0.13535675406455899</v>
      </c>
      <c r="G237">
        <f t="shared" si="11"/>
        <v>122.47904818392169</v>
      </c>
    </row>
    <row r="238" spans="1:8">
      <c r="A238" s="1">
        <v>40057</v>
      </c>
      <c r="B238">
        <v>100.343324906067</v>
      </c>
      <c r="C238">
        <f t="shared" si="9"/>
        <v>-3.4626737417072562E-2</v>
      </c>
      <c r="D238">
        <v>0.19339148700237199</v>
      </c>
      <c r="E238" s="3">
        <f t="shared" si="10"/>
        <v>123.96800833295465</v>
      </c>
      <c r="F238">
        <v>-0.22366689145565</v>
      </c>
      <c r="G238">
        <f t="shared" si="11"/>
        <v>80.644507956828832</v>
      </c>
    </row>
    <row r="239" spans="1:8">
      <c r="A239" s="1">
        <v>40087</v>
      </c>
      <c r="B239">
        <v>92.699675062755304</v>
      </c>
      <c r="C239">
        <f t="shared" si="9"/>
        <v>-7.9232587594508352E-2</v>
      </c>
      <c r="D239">
        <v>-9.9029712378978701E-2</v>
      </c>
      <c r="E239" s="3">
        <f t="shared" si="10"/>
        <v>90.406354301468767</v>
      </c>
      <c r="F239">
        <v>-7.0000127889215903E-3</v>
      </c>
      <c r="G239">
        <f t="shared" si="11"/>
        <v>99.640920348441611</v>
      </c>
    </row>
    <row r="240" spans="1:8">
      <c r="A240" s="1">
        <v>40118</v>
      </c>
      <c r="B240">
        <v>89.755534353302494</v>
      </c>
      <c r="C240">
        <f t="shared" si="9"/>
        <v>-3.2275277738635921E-2</v>
      </c>
      <c r="D240">
        <v>-7.94685408473014E-2</v>
      </c>
      <c r="E240" s="3">
        <f t="shared" si="10"/>
        <v>85.332967148499165</v>
      </c>
      <c r="F240">
        <v>-5.1161978393793099E-2</v>
      </c>
      <c r="G240">
        <f t="shared" si="11"/>
        <v>87.956976290082977</v>
      </c>
    </row>
    <row r="241" spans="1:7">
      <c r="A241" s="1">
        <v>40148</v>
      </c>
      <c r="B241">
        <v>90.611842317919795</v>
      </c>
      <c r="C241">
        <f t="shared" si="9"/>
        <v>9.4952248470674405E-3</v>
      </c>
      <c r="D241">
        <v>4.4894486665725701E-2</v>
      </c>
      <c r="E241" s="3">
        <f t="shared" si="10"/>
        <v>93.785062993501924</v>
      </c>
      <c r="F241">
        <v>-7.5441770255565602E-2</v>
      </c>
      <c r="G241">
        <f t="shared" si="11"/>
        <v>82.984217951455122</v>
      </c>
    </row>
    <row r="242" spans="1:7">
      <c r="A242" s="1">
        <v>40179</v>
      </c>
      <c r="B242">
        <v>95.6477570318646</v>
      </c>
      <c r="C242">
        <f t="shared" si="9"/>
        <v>5.4087331448086751E-2</v>
      </c>
      <c r="D242">
        <v>5.2758254110813099E-2</v>
      </c>
      <c r="E242" s="3">
        <f t="shared" si="10"/>
        <v>95.392364920377531</v>
      </c>
      <c r="F242">
        <v>1.03018414229154E-2</v>
      </c>
      <c r="G242">
        <f t="shared" si="11"/>
        <v>91.545311148517214</v>
      </c>
    </row>
    <row r="243" spans="1:7">
      <c r="A243" s="1">
        <v>40210</v>
      </c>
      <c r="B243">
        <v>89.248328282804096</v>
      </c>
      <c r="C243">
        <f t="shared" si="9"/>
        <v>-6.9249556106596444E-2</v>
      </c>
      <c r="D243">
        <v>-8.7701193988323198E-2</v>
      </c>
      <c r="E243" s="3">
        <f t="shared" si="10"/>
        <v>87.259334537865044</v>
      </c>
      <c r="F243">
        <v>1.08634680509567E-2</v>
      </c>
      <c r="G243">
        <f t="shared" si="11"/>
        <v>96.686823384525937</v>
      </c>
    </row>
    <row r="244" spans="1:7">
      <c r="A244" s="1">
        <v>40238</v>
      </c>
      <c r="B244">
        <v>95.095094137270607</v>
      </c>
      <c r="C244">
        <f t="shared" si="9"/>
        <v>6.3454692102401289E-2</v>
      </c>
      <c r="D244">
        <v>5.9983666986227001E-2</v>
      </c>
      <c r="E244" s="3">
        <f t="shared" si="10"/>
        <v>94.601770285597283</v>
      </c>
      <c r="F244">
        <v>3.8754150737076898E-3</v>
      </c>
      <c r="G244">
        <f t="shared" si="11"/>
        <v>89.594202599534484</v>
      </c>
    </row>
    <row r="245" spans="1:7">
      <c r="A245" s="1">
        <v>40269</v>
      </c>
      <c r="B245">
        <v>106.601620176477</v>
      </c>
      <c r="C245">
        <f t="shared" si="9"/>
        <v>0.11422132840803201</v>
      </c>
      <c r="D245">
        <v>0.13707752525806399</v>
      </c>
      <c r="E245" s="3">
        <f t="shared" si="10"/>
        <v>108.13049430579029</v>
      </c>
      <c r="F245">
        <v>0.13637007772922499</v>
      </c>
      <c r="G245">
        <f t="shared" si="11"/>
        <v>108.06321951643817</v>
      </c>
    </row>
    <row r="246" spans="1:7">
      <c r="A246" s="1">
        <v>40299</v>
      </c>
      <c r="B246">
        <v>109.069612272554</v>
      </c>
      <c r="C246">
        <f t="shared" si="9"/>
        <v>2.2887612814855629E-2</v>
      </c>
      <c r="D246">
        <v>-2.5253507774323199E-3</v>
      </c>
      <c r="E246" s="3">
        <f t="shared" si="10"/>
        <v>106.33241369208879</v>
      </c>
      <c r="F246">
        <v>-1.70008492469787</v>
      </c>
      <c r="G246">
        <f t="shared" si="11"/>
        <v>-74.630187233919841</v>
      </c>
    </row>
    <row r="247" spans="1:7">
      <c r="A247" s="1">
        <v>40330</v>
      </c>
      <c r="B247">
        <v>131.15813992509601</v>
      </c>
      <c r="C247">
        <f t="shared" si="9"/>
        <v>0.18441744706727548</v>
      </c>
      <c r="D247">
        <v>7.9522669315338093E-2</v>
      </c>
      <c r="E247" s="3">
        <f t="shared" si="10"/>
        <v>117.74311898165645</v>
      </c>
      <c r="F247">
        <v>1.7777895927429199</v>
      </c>
      <c r="G247">
        <f t="shared" si="11"/>
        <v>302.97243385520596</v>
      </c>
    </row>
    <row r="248" spans="1:7">
      <c r="A248" s="1">
        <v>40360</v>
      </c>
      <c r="B248">
        <v>120.20378520323899</v>
      </c>
      <c r="C248">
        <f t="shared" si="9"/>
        <v>-8.7215257671194202E-2</v>
      </c>
      <c r="D248">
        <v>-2.0122498273849401E-2</v>
      </c>
      <c r="E248" s="3">
        <f t="shared" si="10"/>
        <v>128.51891048085196</v>
      </c>
      <c r="F248">
        <v>1.0835477150976601E-2</v>
      </c>
      <c r="G248">
        <f t="shared" si="11"/>
        <v>132.57930095341897</v>
      </c>
    </row>
    <row r="249" spans="1:7">
      <c r="A249" s="1">
        <v>40391</v>
      </c>
      <c r="B249">
        <v>105.22431888553299</v>
      </c>
      <c r="C249">
        <f t="shared" si="9"/>
        <v>-0.13309407077900293</v>
      </c>
      <c r="D249">
        <v>-2.6490701362490598E-2</v>
      </c>
      <c r="E249" s="3">
        <f t="shared" si="10"/>
        <v>117.01950262677903</v>
      </c>
      <c r="F249">
        <v>-4.7701969742774901E-2</v>
      </c>
      <c r="G249">
        <f t="shared" si="11"/>
        <v>114.46982787850708</v>
      </c>
    </row>
    <row r="250" spans="1:7">
      <c r="A250" s="1">
        <v>40422</v>
      </c>
      <c r="B250">
        <v>92.648206915529499</v>
      </c>
      <c r="C250">
        <f t="shared" si="9"/>
        <v>-0.12728484247094585</v>
      </c>
      <c r="D250">
        <v>-3.9928413927555001E-2</v>
      </c>
      <c r="E250" s="3">
        <f t="shared" si="10"/>
        <v>101.02287872582639</v>
      </c>
      <c r="F250">
        <v>-4.9675125628709703E-2</v>
      </c>
      <c r="G250">
        <f t="shared" si="11"/>
        <v>99.997287625698732</v>
      </c>
    </row>
    <row r="251" spans="1:7">
      <c r="A251" s="1">
        <v>40452</v>
      </c>
      <c r="B251">
        <v>106.024688442075</v>
      </c>
      <c r="C251">
        <f t="shared" si="9"/>
        <v>0.13486237759281572</v>
      </c>
      <c r="D251">
        <v>2.0182080566883E-2</v>
      </c>
      <c r="E251" s="3">
        <f t="shared" si="10"/>
        <v>94.518040491875965</v>
      </c>
      <c r="F251">
        <v>1.6574483364820401E-2</v>
      </c>
      <c r="G251">
        <f t="shared" si="11"/>
        <v>94.183803079831378</v>
      </c>
    </row>
    <row r="252" spans="1:7">
      <c r="A252" s="1">
        <v>40483</v>
      </c>
      <c r="B252">
        <v>111.651244335203</v>
      </c>
      <c r="C252">
        <f t="shared" si="9"/>
        <v>5.1708146364135565E-2</v>
      </c>
      <c r="D252">
        <v>9.8604196682572295E-3</v>
      </c>
      <c r="E252" s="3">
        <f t="shared" si="10"/>
        <v>107.07013636531009</v>
      </c>
      <c r="F252">
        <v>9.2726126313209499E-3</v>
      </c>
      <c r="G252">
        <f t="shared" si="11"/>
        <v>107.00781430735486</v>
      </c>
    </row>
    <row r="253" spans="1:7">
      <c r="A253" s="1">
        <v>40513</v>
      </c>
      <c r="B253">
        <v>110.864896175974</v>
      </c>
      <c r="C253">
        <f t="shared" si="9"/>
        <v>-7.0678147738547636E-3</v>
      </c>
      <c r="D253">
        <v>2.3272912949323602E-3</v>
      </c>
      <c r="E253" s="3">
        <f t="shared" si="10"/>
        <v>111.91108930421268</v>
      </c>
      <c r="F253">
        <v>6.5226987935602604E-3</v>
      </c>
      <c r="G253">
        <f t="shared" si="11"/>
        <v>112.37951177192774</v>
      </c>
    </row>
    <row r="254" spans="1:7">
      <c r="A254" s="1">
        <v>40544</v>
      </c>
      <c r="B254">
        <v>112.29241161756001</v>
      </c>
      <c r="C254">
        <f t="shared" si="9"/>
        <v>1.2793978630221581E-2</v>
      </c>
      <c r="D254">
        <v>1.49164209142327E-2</v>
      </c>
      <c r="E254" s="3">
        <f t="shared" si="10"/>
        <v>112.51860363194753</v>
      </c>
      <c r="F254">
        <v>0.200896546244621</v>
      </c>
      <c r="G254">
        <f t="shared" si="11"/>
        <v>133.13727091749567</v>
      </c>
    </row>
    <row r="255" spans="1:7">
      <c r="A255" s="1">
        <v>40575</v>
      </c>
      <c r="B255">
        <v>100.786453323678</v>
      </c>
      <c r="C255">
        <f t="shared" si="9"/>
        <v>-0.10810233206845687</v>
      </c>
      <c r="D255">
        <v>-5.8187063783407197E-2</v>
      </c>
      <c r="E255" s="3">
        <f t="shared" si="10"/>
        <v>105.75844590037643</v>
      </c>
      <c r="F255">
        <v>-0.54752510786056496</v>
      </c>
      <c r="G255">
        <f t="shared" si="11"/>
        <v>50.809496834732506</v>
      </c>
    </row>
    <row r="256" spans="1:7">
      <c r="A256" s="1">
        <v>40603</v>
      </c>
      <c r="B256">
        <v>128.21622969952901</v>
      </c>
      <c r="C256">
        <f t="shared" si="9"/>
        <v>0.24071417821835084</v>
      </c>
      <c r="D256">
        <v>8.1357002258300698E-2</v>
      </c>
      <c r="E256" s="3">
        <f t="shared" si="10"/>
        <v>108.9861370343386</v>
      </c>
      <c r="F256">
        <v>0.38471493124961798</v>
      </c>
      <c r="G256">
        <f t="shared" si="11"/>
        <v>139.56050678498963</v>
      </c>
    </row>
    <row r="257" spans="1:8">
      <c r="A257" s="1">
        <v>40634</v>
      </c>
      <c r="B257">
        <v>131.873778605354</v>
      </c>
      <c r="C257">
        <f t="shared" si="9"/>
        <v>2.8127109233015979E-2</v>
      </c>
      <c r="D257">
        <v>0.35683196783065702</v>
      </c>
      <c r="E257" s="3">
        <f t="shared" si="10"/>
        <v>173.96787925103948</v>
      </c>
      <c r="F257">
        <v>-0.19421684741973799</v>
      </c>
      <c r="G257">
        <f t="shared" si="11"/>
        <v>103.3144777792415</v>
      </c>
    </row>
    <row r="258" spans="1:8">
      <c r="A258" s="1">
        <v>40664</v>
      </c>
      <c r="B258">
        <v>132.19256125139199</v>
      </c>
      <c r="C258">
        <f t="shared" si="9"/>
        <v>2.4144145071280931E-3</v>
      </c>
      <c r="D258">
        <v>0.196738511323928</v>
      </c>
      <c r="E258" s="3">
        <f t="shared" si="10"/>
        <v>157.81842949083261</v>
      </c>
      <c r="F258">
        <v>8.3996012806892395E-2</v>
      </c>
      <c r="G258">
        <f t="shared" si="11"/>
        <v>142.95065020198263</v>
      </c>
    </row>
    <row r="259" spans="1:8">
      <c r="A259" s="1">
        <v>40695</v>
      </c>
      <c r="B259">
        <v>145.70192618801701</v>
      </c>
      <c r="C259">
        <f t="shared" si="9"/>
        <v>9.7303276413025941E-2</v>
      </c>
      <c r="D259">
        <v>-0.37072616815567</v>
      </c>
      <c r="E259" s="3">
        <f t="shared" si="10"/>
        <v>83.185319559979746</v>
      </c>
      <c r="F259">
        <v>0.29306516051292397</v>
      </c>
      <c r="G259">
        <f t="shared" si="11"/>
        <v>170.93359543314571</v>
      </c>
    </row>
    <row r="260" spans="1:8">
      <c r="A260" s="1">
        <v>40725</v>
      </c>
      <c r="B260">
        <v>152.26665979788501</v>
      </c>
      <c r="C260">
        <f t="shared" ref="C260:C323" si="12">LN(B260)-LN(B259)</f>
        <v>4.4070391216231464E-2</v>
      </c>
      <c r="D260">
        <v>-9.2872582376003196E-2</v>
      </c>
      <c r="E260" s="3">
        <f t="shared" si="10"/>
        <v>132.17021204577807</v>
      </c>
      <c r="F260">
        <v>3.5815577954053802E-2</v>
      </c>
      <c r="G260">
        <f t="shared" si="11"/>
        <v>150.92032488345973</v>
      </c>
    </row>
    <row r="261" spans="1:8">
      <c r="A261" s="1">
        <v>40756</v>
      </c>
      <c r="B261">
        <v>154.17830312951801</v>
      </c>
      <c r="C261">
        <f t="shared" si="12"/>
        <v>1.2476420631474916E-2</v>
      </c>
      <c r="D261">
        <v>-7.9876817762851701E-2</v>
      </c>
      <c r="E261" s="3">
        <f t="shared" ref="E261:E324" si="13">B260*D261+B260</f>
        <v>140.10408356185121</v>
      </c>
      <c r="F261">
        <v>2.8641382232308301E-2</v>
      </c>
      <c r="G261">
        <f t="shared" si="11"/>
        <v>156.6277874023931</v>
      </c>
    </row>
    <row r="262" spans="1:8">
      <c r="A262" s="1">
        <v>40787</v>
      </c>
      <c r="B262">
        <v>144.06541631654801</v>
      </c>
      <c r="C262">
        <f t="shared" si="12"/>
        <v>-6.7842268796832528E-2</v>
      </c>
      <c r="D262">
        <v>0.26753872632980302</v>
      </c>
      <c r="E262" s="3">
        <f t="shared" si="13"/>
        <v>195.42696997647954</v>
      </c>
      <c r="F262">
        <v>3.0332364141941001E-2</v>
      </c>
      <c r="G262">
        <f t="shared" si="11"/>
        <v>158.85489556282911</v>
      </c>
    </row>
    <row r="263" spans="1:8">
      <c r="A263" s="1">
        <v>40817</v>
      </c>
      <c r="B263">
        <v>149.776986621113</v>
      </c>
      <c r="C263">
        <f t="shared" si="12"/>
        <v>3.8879955520711107E-2</v>
      </c>
      <c r="D263">
        <v>3.09475287795066E-2</v>
      </c>
      <c r="E263" s="3">
        <f t="shared" si="13"/>
        <v>148.52388493413599</v>
      </c>
      <c r="F263">
        <v>0.14838080108165699</v>
      </c>
      <c r="G263">
        <f t="shared" ref="G263:G326" si="14">B262*F263+B262</f>
        <v>165.44195819775982</v>
      </c>
      <c r="H263" s="3"/>
    </row>
    <row r="264" spans="1:8">
      <c r="A264" s="1">
        <v>40848</v>
      </c>
      <c r="B264">
        <v>180.869176090916</v>
      </c>
      <c r="C264">
        <f t="shared" si="12"/>
        <v>0.18862655398459793</v>
      </c>
      <c r="D264">
        <v>7.0932358503341605E-2</v>
      </c>
      <c r="E264" s="3">
        <f t="shared" si="13"/>
        <v>160.40102153167197</v>
      </c>
      <c r="F264">
        <v>-4.0532317012548398E-2</v>
      </c>
      <c r="G264">
        <f t="shared" si="14"/>
        <v>143.70617831820184</v>
      </c>
    </row>
    <row r="265" spans="1:8">
      <c r="A265" s="1">
        <v>40878</v>
      </c>
      <c r="B265">
        <v>204.855968652678</v>
      </c>
      <c r="C265">
        <f t="shared" si="12"/>
        <v>0.12453315436343804</v>
      </c>
      <c r="D265">
        <v>7.0943862199783297E-2</v>
      </c>
      <c r="E265" s="3">
        <f t="shared" si="13"/>
        <v>193.70073399569827</v>
      </c>
      <c r="F265">
        <v>6.4975261688232394E-2</v>
      </c>
      <c r="G265">
        <f t="shared" si="14"/>
        <v>192.62119813875825</v>
      </c>
    </row>
    <row r="266" spans="1:8">
      <c r="A266" s="1">
        <v>40909</v>
      </c>
      <c r="B266">
        <v>239.09588131996699</v>
      </c>
      <c r="C266">
        <f t="shared" si="12"/>
        <v>0.15455750828563009</v>
      </c>
      <c r="D266">
        <v>-0.23731595277786199</v>
      </c>
      <c r="E266" s="3">
        <f t="shared" si="13"/>
        <v>156.24037926963589</v>
      </c>
      <c r="F266">
        <v>9.3580476939678095E-2</v>
      </c>
      <c r="G266">
        <f t="shared" si="14"/>
        <v>224.02648790313535</v>
      </c>
    </row>
    <row r="267" spans="1:8">
      <c r="A267" s="1">
        <v>40940</v>
      </c>
      <c r="B267">
        <v>228.514821281872</v>
      </c>
      <c r="C267">
        <f t="shared" si="12"/>
        <v>-4.5263576943780137E-2</v>
      </c>
      <c r="D267">
        <v>0.218358159065246</v>
      </c>
      <c r="E267" s="3">
        <f t="shared" si="13"/>
        <v>291.30441780507755</v>
      </c>
      <c r="F267">
        <v>8.4362491965293801E-2</v>
      </c>
      <c r="G267">
        <f t="shared" si="14"/>
        <v>259.26660568675754</v>
      </c>
    </row>
    <row r="268" spans="1:8">
      <c r="A268" s="1">
        <v>40969</v>
      </c>
      <c r="B268">
        <v>204.26852501257699</v>
      </c>
      <c r="C268">
        <f t="shared" si="12"/>
        <v>-0.11216564424540021</v>
      </c>
      <c r="D268">
        <v>0.24583151936531</v>
      </c>
      <c r="E268" s="3">
        <f t="shared" si="13"/>
        <v>284.69096699508685</v>
      </c>
      <c r="F268">
        <v>4.8930771648883799E-2</v>
      </c>
      <c r="G268">
        <f t="shared" si="14"/>
        <v>239.69622782040076</v>
      </c>
    </row>
    <row r="269" spans="1:8">
      <c r="A269" s="1">
        <v>41000</v>
      </c>
      <c r="B269">
        <v>204.236536502614</v>
      </c>
      <c r="C269">
        <f t="shared" si="12"/>
        <v>-1.5661255167742638E-4</v>
      </c>
      <c r="D269">
        <v>-3.6115124821662903E-2</v>
      </c>
      <c r="E269" s="3">
        <f t="shared" si="13"/>
        <v>196.89134173461079</v>
      </c>
      <c r="F269">
        <v>-1.0877201333642001E-2</v>
      </c>
      <c r="G269">
        <f t="shared" si="14"/>
        <v>202.04665513988911</v>
      </c>
    </row>
    <row r="270" spans="1:8">
      <c r="A270" s="1">
        <v>41030</v>
      </c>
      <c r="B270">
        <v>207.64209295785901</v>
      </c>
      <c r="C270">
        <f t="shared" si="12"/>
        <v>1.6537075839696769E-2</v>
      </c>
      <c r="D270">
        <v>-4.0740385651588398E-2</v>
      </c>
      <c r="E270" s="3">
        <f t="shared" si="13"/>
        <v>195.91586124135279</v>
      </c>
      <c r="F270">
        <v>-2.5799416005611399E-2</v>
      </c>
      <c r="G270">
        <f t="shared" si="14"/>
        <v>198.96735313383783</v>
      </c>
    </row>
    <row r="271" spans="1:8">
      <c r="A271" s="1">
        <v>41061</v>
      </c>
      <c r="B271">
        <v>229.83661123552801</v>
      </c>
      <c r="C271">
        <f t="shared" si="12"/>
        <v>0.10155277989572387</v>
      </c>
      <c r="D271">
        <v>3.0921559780836098E-2</v>
      </c>
      <c r="E271" s="3">
        <f t="shared" si="13"/>
        <v>214.06271034827336</v>
      </c>
      <c r="F271">
        <v>-9.2573324218392303E-3</v>
      </c>
      <c r="G271">
        <f t="shared" si="14"/>
        <v>205.71988107858166</v>
      </c>
    </row>
    <row r="272" spans="1:8">
      <c r="A272" s="1">
        <v>41091</v>
      </c>
      <c r="B272">
        <v>194.00129231710301</v>
      </c>
      <c r="C272">
        <f t="shared" si="12"/>
        <v>-0.16950385007755298</v>
      </c>
      <c r="D272">
        <v>2.4337638169527002E-3</v>
      </c>
      <c r="E272" s="3">
        <f t="shared" si="13"/>
        <v>230.39597926376408</v>
      </c>
      <c r="F272">
        <v>1.3742377050220899E-3</v>
      </c>
      <c r="G272">
        <f t="shared" si="14"/>
        <v>230.15246137268238</v>
      </c>
    </row>
    <row r="273" spans="1:8">
      <c r="A273" s="1">
        <v>41122</v>
      </c>
      <c r="B273">
        <v>227.52462338522599</v>
      </c>
      <c r="C273">
        <f t="shared" si="12"/>
        <v>0.15939364672488399</v>
      </c>
      <c r="D273">
        <v>2.32224279898218E-4</v>
      </c>
      <c r="E273" s="3">
        <f t="shared" si="13"/>
        <v>194.04634412751068</v>
      </c>
      <c r="F273">
        <v>1.1686813086271199E-3</v>
      </c>
      <c r="G273">
        <f t="shared" si="14"/>
        <v>194.22801800128352</v>
      </c>
    </row>
    <row r="274" spans="1:8">
      <c r="A274" s="1">
        <v>41153</v>
      </c>
      <c r="B274">
        <v>221.98020570108801</v>
      </c>
      <c r="C274">
        <f t="shared" si="12"/>
        <v>-2.4670252806026305E-2</v>
      </c>
      <c r="D274">
        <v>1.20896562293637E-4</v>
      </c>
      <c r="E274" s="3">
        <f t="shared" si="13"/>
        <v>227.55213033003042</v>
      </c>
      <c r="F274">
        <v>2.43965740082785E-4</v>
      </c>
      <c r="G274">
        <f t="shared" si="14"/>
        <v>227.58013159835724</v>
      </c>
    </row>
    <row r="275" spans="1:8">
      <c r="A275" s="1">
        <v>41183</v>
      </c>
      <c r="B275">
        <v>213.48519325987601</v>
      </c>
      <c r="C275">
        <f t="shared" si="12"/>
        <v>-3.9020736537433542E-2</v>
      </c>
      <c r="D275">
        <v>-1.2525769881904099E-2</v>
      </c>
      <c r="E275" s="3">
        <f t="shared" si="13"/>
        <v>219.19973272613845</v>
      </c>
      <c r="F275">
        <v>-3.71588245034217E-2</v>
      </c>
      <c r="G275">
        <f t="shared" si="14"/>
        <v>213.73168219420782</v>
      </c>
    </row>
    <row r="276" spans="1:8">
      <c r="A276" s="1">
        <v>41214</v>
      </c>
      <c r="B276">
        <v>194.00231188523401</v>
      </c>
      <c r="C276">
        <f t="shared" si="12"/>
        <v>-9.5697401924413228E-2</v>
      </c>
      <c r="D276">
        <v>-3.9788331836462E-2</v>
      </c>
      <c r="E276" s="3">
        <f t="shared" si="13"/>
        <v>204.99097354828083</v>
      </c>
      <c r="F276">
        <v>-6.0363989323377602E-2</v>
      </c>
      <c r="G276">
        <f t="shared" si="14"/>
        <v>200.59837533323764</v>
      </c>
    </row>
    <row r="277" spans="1:8">
      <c r="A277" s="1">
        <v>41244</v>
      </c>
      <c r="B277">
        <v>164.66899129674599</v>
      </c>
      <c r="C277">
        <f t="shared" si="12"/>
        <v>-0.16393273031963496</v>
      </c>
      <c r="D277">
        <v>-6.5204881131649003E-2</v>
      </c>
      <c r="E277" s="3">
        <f t="shared" si="13"/>
        <v>181.35241419949222</v>
      </c>
      <c r="F277">
        <v>-1.9996181130409199E-2</v>
      </c>
      <c r="G277">
        <f t="shared" si="14"/>
        <v>190.12300651705874</v>
      </c>
    </row>
    <row r="278" spans="1:8">
      <c r="A278" s="1">
        <v>41275</v>
      </c>
      <c r="B278">
        <v>178.527909270896</v>
      </c>
      <c r="C278">
        <f t="shared" si="12"/>
        <v>8.0807597849527291E-2</v>
      </c>
      <c r="D278">
        <v>3.7617795169353402E-2</v>
      </c>
      <c r="E278" s="3">
        <f t="shared" si="13"/>
        <v>170.86347568209101</v>
      </c>
      <c r="F278">
        <v>-1.8508471548557202E-2</v>
      </c>
      <c r="G278">
        <f t="shared" si="14"/>
        <v>161.62121995640055</v>
      </c>
      <c r="H278" s="3"/>
    </row>
    <row r="279" spans="1:8">
      <c r="A279" s="1">
        <v>41306</v>
      </c>
      <c r="B279">
        <v>180.724253727568</v>
      </c>
      <c r="C279">
        <f t="shared" si="12"/>
        <v>1.2227466095477091E-2</v>
      </c>
      <c r="D279">
        <v>-2.1032417193055101E-2</v>
      </c>
      <c r="E279" s="3">
        <f t="shared" si="13"/>
        <v>174.77303580250663</v>
      </c>
      <c r="F279">
        <v>-4.7890033572912202E-2</v>
      </c>
      <c r="G279">
        <f t="shared" si="14"/>
        <v>169.97820170221098</v>
      </c>
    </row>
    <row r="280" spans="1:8">
      <c r="A280" s="1">
        <v>41334</v>
      </c>
      <c r="B280">
        <v>157.980145719294</v>
      </c>
      <c r="C280">
        <f t="shared" si="12"/>
        <v>-0.13450304442526839</v>
      </c>
      <c r="D280">
        <v>-0.117505818605422</v>
      </c>
      <c r="E280" s="3">
        <f t="shared" si="13"/>
        <v>159.48810235145612</v>
      </c>
      <c r="F280">
        <v>-3.4521933645009897E-2</v>
      </c>
      <c r="G280">
        <f t="shared" si="14"/>
        <v>174.48530303234097</v>
      </c>
    </row>
    <row r="281" spans="1:8">
      <c r="A281" s="1">
        <v>41365</v>
      </c>
      <c r="B281">
        <v>138.91837241126501</v>
      </c>
      <c r="C281">
        <f t="shared" si="12"/>
        <v>-0.12858285333388331</v>
      </c>
      <c r="D281">
        <v>-0.76823467016220004</v>
      </c>
      <c r="E281" s="3">
        <f t="shared" si="13"/>
        <v>36.614320580455882</v>
      </c>
      <c r="F281">
        <v>-4.2113557457923799E-2</v>
      </c>
      <c r="G281">
        <f t="shared" si="14"/>
        <v>151.32703977533333</v>
      </c>
    </row>
    <row r="282" spans="1:8">
      <c r="A282" s="1">
        <v>41395</v>
      </c>
      <c r="B282">
        <v>134.01452791949899</v>
      </c>
      <c r="C282">
        <f t="shared" si="12"/>
        <v>-3.5938300408862034E-2</v>
      </c>
      <c r="D282">
        <v>-0.26818215847015298</v>
      </c>
      <c r="E282" s="3">
        <f t="shared" si="13"/>
        <v>101.66294344685141</v>
      </c>
      <c r="F282">
        <v>-5.0782438367605202E-2</v>
      </c>
      <c r="G282">
        <f t="shared" si="14"/>
        <v>131.8637587261619</v>
      </c>
    </row>
    <row r="283" spans="1:8">
      <c r="A283" s="1">
        <v>41426</v>
      </c>
      <c r="B283">
        <v>157.445773319323</v>
      </c>
      <c r="C283">
        <f t="shared" si="12"/>
        <v>0.16113289121295526</v>
      </c>
      <c r="D283">
        <v>0.85259014368057195</v>
      </c>
      <c r="E283" s="3">
        <f t="shared" si="13"/>
        <v>248.27399353366866</v>
      </c>
      <c r="F283">
        <v>-9.0930663049220997E-2</v>
      </c>
      <c r="G283">
        <f t="shared" si="14"/>
        <v>121.8284980375506</v>
      </c>
    </row>
    <row r="284" spans="1:8">
      <c r="A284" s="1">
        <v>41456</v>
      </c>
      <c r="B284">
        <v>151.67835644712699</v>
      </c>
      <c r="C284">
        <f t="shared" si="12"/>
        <v>-3.7318899808587602E-2</v>
      </c>
      <c r="D284">
        <v>-4.9740197136998099E-3</v>
      </c>
      <c r="E284" s="3">
        <f t="shared" si="13"/>
        <v>156.66263493899396</v>
      </c>
      <c r="F284">
        <v>-3.6768943071365301E-2</v>
      </c>
      <c r="G284">
        <f t="shared" si="14"/>
        <v>151.65665864331771</v>
      </c>
    </row>
    <row r="285" spans="1:8">
      <c r="A285" s="1">
        <v>41487</v>
      </c>
      <c r="B285">
        <v>129.300572945646</v>
      </c>
      <c r="C285">
        <f t="shared" si="12"/>
        <v>-0.15962248588609373</v>
      </c>
      <c r="D285">
        <v>-4.9394320696592303E-2</v>
      </c>
      <c r="E285" s="3">
        <f t="shared" si="13"/>
        <v>144.18630706604557</v>
      </c>
      <c r="F285">
        <v>-1.8111513927578898E-2</v>
      </c>
      <c r="G285">
        <f t="shared" si="14"/>
        <v>148.93123178182256</v>
      </c>
    </row>
    <row r="286" spans="1:8">
      <c r="A286" s="1">
        <v>41518</v>
      </c>
      <c r="B286">
        <v>129.41951521760799</v>
      </c>
      <c r="C286">
        <f t="shared" si="12"/>
        <v>9.1946691257049906E-4</v>
      </c>
      <c r="D286">
        <v>6.8313861265778498E-3</v>
      </c>
      <c r="E286" s="3">
        <f t="shared" si="13"/>
        <v>130.18387508582546</v>
      </c>
      <c r="F286">
        <v>7.34350178390741E-3</v>
      </c>
      <c r="G286">
        <f t="shared" si="14"/>
        <v>130.25009193373259</v>
      </c>
    </row>
    <row r="287" spans="1:8">
      <c r="A287" s="1">
        <v>41548</v>
      </c>
      <c r="B287">
        <v>123.27973000058699</v>
      </c>
      <c r="C287">
        <f t="shared" si="12"/>
        <v>-4.8603182936769684E-2</v>
      </c>
      <c r="D287">
        <v>-5.3462985903024597E-2</v>
      </c>
      <c r="E287" s="3">
        <f t="shared" si="13"/>
        <v>122.50036149995275</v>
      </c>
      <c r="F287">
        <v>-9.1367669403552995E-2</v>
      </c>
      <c r="G287">
        <f t="shared" si="14"/>
        <v>117.5947557368375</v>
      </c>
    </row>
    <row r="288" spans="1:8">
      <c r="A288" s="1">
        <v>41579</v>
      </c>
      <c r="B288">
        <v>96.716360810345705</v>
      </c>
      <c r="C288">
        <f t="shared" si="12"/>
        <v>-0.24267342130962621</v>
      </c>
      <c r="D288">
        <v>-0.180957451462745</v>
      </c>
      <c r="E288" s="3">
        <f t="shared" si="13"/>
        <v>100.97134424266547</v>
      </c>
      <c r="F288">
        <v>-0.14248910546302701</v>
      </c>
      <c r="G288">
        <f t="shared" si="14"/>
        <v>105.71371155107985</v>
      </c>
    </row>
    <row r="289" spans="1:8">
      <c r="A289" s="1">
        <v>41609</v>
      </c>
      <c r="B289">
        <v>96.374007788138698</v>
      </c>
      <c r="C289">
        <f t="shared" si="12"/>
        <v>-3.5460430619380645E-3</v>
      </c>
      <c r="D289">
        <v>-2.5795338675379701E-2</v>
      </c>
      <c r="E289" s="3">
        <f t="shared" si="13"/>
        <v>94.221529527792612</v>
      </c>
      <c r="F289">
        <v>-2.6359003037214199E-2</v>
      </c>
      <c r="G289">
        <f t="shared" si="14"/>
        <v>94.167013961997498</v>
      </c>
      <c r="H289" s="3"/>
    </row>
    <row r="290" spans="1:8">
      <c r="A290" s="1">
        <v>41640</v>
      </c>
      <c r="B290">
        <v>93.996650789335405</v>
      </c>
      <c r="C290">
        <f t="shared" si="12"/>
        <v>-2.4977384771827538E-2</v>
      </c>
      <c r="D290">
        <v>4.5808618888258899E-3</v>
      </c>
      <c r="E290" s="3">
        <f t="shared" si="13"/>
        <v>96.815483807488789</v>
      </c>
      <c r="F290">
        <v>-3.9111818186938702E-3</v>
      </c>
      <c r="G290">
        <f t="shared" si="14"/>
        <v>95.997071521083072</v>
      </c>
    </row>
    <row r="291" spans="1:8">
      <c r="A291" s="1">
        <v>41671</v>
      </c>
      <c r="B291">
        <v>101.397594438691</v>
      </c>
      <c r="C291">
        <f t="shared" si="12"/>
        <v>7.5790215656810211E-2</v>
      </c>
      <c r="D291">
        <v>-3.0323504470288701E-3</v>
      </c>
      <c r="E291" s="3">
        <f t="shared" si="13"/>
        <v>93.711620003295153</v>
      </c>
      <c r="F291">
        <v>-1.92034908104687E-3</v>
      </c>
      <c r="G291">
        <f t="shared" si="14"/>
        <v>93.816144407370615</v>
      </c>
    </row>
    <row r="292" spans="1:8">
      <c r="A292" s="1">
        <v>41699</v>
      </c>
      <c r="B292">
        <v>118.029525181502</v>
      </c>
      <c r="C292">
        <f t="shared" si="12"/>
        <v>0.15188543917870501</v>
      </c>
      <c r="D292">
        <v>-1.0905063711106701E-2</v>
      </c>
      <c r="E292" s="3">
        <f t="shared" si="13"/>
        <v>100.29184721118412</v>
      </c>
      <c r="F292">
        <v>-3.5250219516456101E-3</v>
      </c>
      <c r="G292">
        <f t="shared" si="14"/>
        <v>101.04016569245056</v>
      </c>
    </row>
    <row r="293" spans="1:8">
      <c r="A293" s="1">
        <v>41730</v>
      </c>
      <c r="B293">
        <v>132.11164159413201</v>
      </c>
      <c r="C293">
        <f t="shared" si="12"/>
        <v>0.11271252820720079</v>
      </c>
      <c r="D293">
        <v>-0.27904841303825301</v>
      </c>
      <c r="E293" s="3">
        <f t="shared" si="13"/>
        <v>85.093573487945349</v>
      </c>
      <c r="F293">
        <v>7.21454918384552E-2</v>
      </c>
      <c r="G293">
        <f t="shared" si="14"/>
        <v>126.54482332718079</v>
      </c>
    </row>
    <row r="294" spans="1:8">
      <c r="A294" s="1">
        <v>41760</v>
      </c>
      <c r="B294">
        <v>128.631848559649</v>
      </c>
      <c r="C294">
        <f t="shared" si="12"/>
        <v>-2.6692897650606007E-2</v>
      </c>
      <c r="D294">
        <v>0.125020086765289</v>
      </c>
      <c r="E294" s="3">
        <f t="shared" si="13"/>
        <v>148.62825048893515</v>
      </c>
      <c r="F294">
        <v>0.12884473800659099</v>
      </c>
      <c r="G294">
        <f t="shared" si="14"/>
        <v>149.13353144294859</v>
      </c>
    </row>
    <row r="295" spans="1:8">
      <c r="A295" s="1">
        <v>41791</v>
      </c>
      <c r="B295">
        <v>113.092504076491</v>
      </c>
      <c r="C295">
        <f t="shared" si="12"/>
        <v>-0.1287483331551087</v>
      </c>
      <c r="D295">
        <v>0.33028930425643899</v>
      </c>
      <c r="E295" s="3">
        <f t="shared" si="13"/>
        <v>171.11757232563508</v>
      </c>
      <c r="F295">
        <v>-2.4729212746024101E-2</v>
      </c>
      <c r="G295">
        <f t="shared" si="14"/>
        <v>125.45088421070308</v>
      </c>
    </row>
    <row r="296" spans="1:8">
      <c r="A296" s="1">
        <v>41821</v>
      </c>
      <c r="B296">
        <v>147.92502563545</v>
      </c>
      <c r="C296">
        <f t="shared" si="12"/>
        <v>0.26849945789150631</v>
      </c>
      <c r="D296">
        <v>0.29715359210968001</v>
      </c>
      <c r="E296" s="3">
        <f t="shared" si="13"/>
        <v>146.69834790349893</v>
      </c>
      <c r="F296">
        <v>-0.19344145059585499</v>
      </c>
      <c r="G296">
        <f t="shared" si="14"/>
        <v>91.215726036416939</v>
      </c>
    </row>
    <row r="297" spans="1:8">
      <c r="A297" s="1">
        <v>41852</v>
      </c>
      <c r="B297">
        <v>148.040919744869</v>
      </c>
      <c r="C297">
        <f t="shared" si="12"/>
        <v>7.8315844881160501E-4</v>
      </c>
      <c r="D297">
        <v>-6.9535516202449799E-2</v>
      </c>
      <c r="E297" s="3">
        <f t="shared" si="13"/>
        <v>137.63898261862838</v>
      </c>
      <c r="F297">
        <v>0.24845416843891099</v>
      </c>
      <c r="G297">
        <f t="shared" si="14"/>
        <v>184.67761487101032</v>
      </c>
    </row>
    <row r="298" spans="1:8">
      <c r="A298" s="1">
        <v>41883</v>
      </c>
      <c r="B298">
        <v>148.899137285775</v>
      </c>
      <c r="C298">
        <f t="shared" si="12"/>
        <v>5.7804254444127068E-3</v>
      </c>
      <c r="D298">
        <v>-5.36642149090766E-2</v>
      </c>
      <c r="E298" s="3">
        <f t="shared" si="13"/>
        <v>140.096420012343</v>
      </c>
      <c r="F298">
        <v>0.118941150605678</v>
      </c>
      <c r="G298">
        <f t="shared" si="14"/>
        <v>165.64907707604655</v>
      </c>
    </row>
    <row r="299" spans="1:8">
      <c r="A299" s="1">
        <v>41913</v>
      </c>
      <c r="B299">
        <v>147.15388288252899</v>
      </c>
      <c r="C299">
        <f t="shared" si="12"/>
        <v>-1.1790284183835986E-2</v>
      </c>
      <c r="D299">
        <v>3.6781923845410299E-3</v>
      </c>
      <c r="E299" s="3">
        <f t="shared" si="13"/>
        <v>149.44681695860427</v>
      </c>
      <c r="F299">
        <v>-4.5152348466217501E-3</v>
      </c>
      <c r="G299">
        <f t="shared" si="14"/>
        <v>148.22682271247035</v>
      </c>
    </row>
    <row r="300" spans="1:8">
      <c r="A300" s="1">
        <v>41944</v>
      </c>
      <c r="B300">
        <v>150.753928026285</v>
      </c>
      <c r="C300">
        <f t="shared" si="12"/>
        <v>2.4170030254480501E-2</v>
      </c>
      <c r="D300">
        <v>-1.6092170262709199E-3</v>
      </c>
      <c r="E300" s="3">
        <f t="shared" si="13"/>
        <v>146.91708034871255</v>
      </c>
      <c r="F300">
        <v>8.0283870920538902E-3</v>
      </c>
      <c r="G300">
        <f t="shared" si="14"/>
        <v>148.33529121640871</v>
      </c>
    </row>
    <row r="301" spans="1:8">
      <c r="A301" s="1">
        <v>41974</v>
      </c>
      <c r="B301">
        <v>151.61618434895399</v>
      </c>
      <c r="C301">
        <f t="shared" si="12"/>
        <v>5.7033326024455988E-3</v>
      </c>
      <c r="D301">
        <v>8.3492081612348504E-3</v>
      </c>
      <c r="E301" s="3">
        <f t="shared" si="13"/>
        <v>152.01260395250026</v>
      </c>
      <c r="F301">
        <v>6.9050309248268604E-3</v>
      </c>
      <c r="G301">
        <f t="shared" si="14"/>
        <v>151.79488856134563</v>
      </c>
    </row>
    <row r="302" spans="1:8">
      <c r="A302" s="1">
        <v>42005</v>
      </c>
      <c r="B302">
        <v>141.19711286909799</v>
      </c>
      <c r="C302">
        <f t="shared" si="12"/>
        <v>-7.1195346681987459E-2</v>
      </c>
      <c r="D302">
        <v>-8.7630085647106101E-2</v>
      </c>
      <c r="E302" s="3">
        <f t="shared" si="13"/>
        <v>138.33004512896773</v>
      </c>
      <c r="F302">
        <v>-2.4215810000896398E-2</v>
      </c>
      <c r="G302">
        <f t="shared" si="14"/>
        <v>147.94467563569884</v>
      </c>
    </row>
    <row r="303" spans="1:8">
      <c r="A303" s="1">
        <v>42036</v>
      </c>
      <c r="B303">
        <v>132.00720403778499</v>
      </c>
      <c r="C303">
        <f t="shared" si="12"/>
        <v>-6.7300380606412524E-2</v>
      </c>
      <c r="D303">
        <v>-9.5884032547473894E-2</v>
      </c>
      <c r="E303" s="3">
        <f t="shared" si="13"/>
        <v>127.65856430314805</v>
      </c>
      <c r="F303">
        <v>-4.1984643787145601E-2</v>
      </c>
      <c r="G303">
        <f t="shared" si="14"/>
        <v>135.26900238151552</v>
      </c>
    </row>
    <row r="304" spans="1:8">
      <c r="A304" s="1">
        <v>42064</v>
      </c>
      <c r="B304">
        <v>132.433671688532</v>
      </c>
      <c r="C304">
        <f t="shared" si="12"/>
        <v>3.2254319178317559E-3</v>
      </c>
      <c r="D304">
        <v>8.0785997211933094E-2</v>
      </c>
      <c r="E304" s="3">
        <f t="shared" si="13"/>
        <v>142.67153765513658</v>
      </c>
      <c r="F304">
        <v>-3.6527670919895103E-2</v>
      </c>
      <c r="G304">
        <f t="shared" si="14"/>
        <v>127.18528832963733</v>
      </c>
    </row>
    <row r="305" spans="1:8">
      <c r="A305" s="1">
        <v>42095</v>
      </c>
      <c r="B305">
        <v>127.180340656986</v>
      </c>
      <c r="C305">
        <f t="shared" si="12"/>
        <v>-4.0475844681021833E-2</v>
      </c>
      <c r="D305">
        <v>-5.1730286329984602E-2</v>
      </c>
      <c r="E305" s="3">
        <f t="shared" si="13"/>
        <v>125.58283993235307</v>
      </c>
      <c r="F305">
        <v>-7.0284411311149597E-2</v>
      </c>
      <c r="G305">
        <f t="shared" si="14"/>
        <v>123.12564903612947</v>
      </c>
    </row>
    <row r="306" spans="1:8">
      <c r="A306" s="1">
        <v>42125</v>
      </c>
      <c r="B306">
        <v>115.40318004631899</v>
      </c>
      <c r="C306">
        <f t="shared" si="12"/>
        <v>-9.7174173956267929E-2</v>
      </c>
      <c r="D306">
        <v>-7.2089567780494607E-2</v>
      </c>
      <c r="E306" s="3">
        <f t="shared" si="13"/>
        <v>118.01196486884781</v>
      </c>
      <c r="F306">
        <v>-4.34337295591831E-2</v>
      </c>
      <c r="G306">
        <f t="shared" si="14"/>
        <v>121.65642413564569</v>
      </c>
    </row>
    <row r="307" spans="1:8">
      <c r="A307" s="1">
        <v>42156</v>
      </c>
      <c r="B307">
        <v>119.41264689606599</v>
      </c>
      <c r="C307">
        <f t="shared" si="12"/>
        <v>3.4153205330373915E-2</v>
      </c>
      <c r="D307">
        <v>9.9923769012093492E-3</v>
      </c>
      <c r="E307" s="3">
        <f t="shared" si="13"/>
        <v>116.55633211693994</v>
      </c>
      <c r="F307">
        <v>-1.09337233880069E-4</v>
      </c>
      <c r="G307">
        <f t="shared" si="14"/>
        <v>115.39056218183177</v>
      </c>
    </row>
    <row r="308" spans="1:8">
      <c r="A308" s="1">
        <v>42186</v>
      </c>
      <c r="B308">
        <v>114.906450182829</v>
      </c>
      <c r="C308">
        <f t="shared" si="12"/>
        <v>-3.8466795111390617E-2</v>
      </c>
      <c r="D308">
        <v>3.6877186503261302E-3</v>
      </c>
      <c r="E308" s="3">
        <f t="shared" si="13"/>
        <v>119.85300714110943</v>
      </c>
      <c r="F308">
        <v>-1.38600887730717E-2</v>
      </c>
      <c r="G308">
        <f t="shared" si="14"/>
        <v>117.75757700945906</v>
      </c>
    </row>
    <row r="309" spans="1:8">
      <c r="A309" s="1">
        <v>42217</v>
      </c>
      <c r="B309">
        <v>134.859788621756</v>
      </c>
      <c r="C309">
        <f t="shared" si="12"/>
        <v>0.16011731527449147</v>
      </c>
      <c r="D309">
        <v>7.3981933295726707E-2</v>
      </c>
      <c r="E309" s="3">
        <f t="shared" si="13"/>
        <v>123.40745151550381</v>
      </c>
      <c r="F309" s="3">
        <v>-6.7903365561505703E-6</v>
      </c>
      <c r="G309">
        <f t="shared" si="14"/>
        <v>114.90566992935979</v>
      </c>
      <c r="H309" s="3"/>
    </row>
    <row r="310" spans="1:8">
      <c r="A310" s="1">
        <v>42248</v>
      </c>
      <c r="B310">
        <v>103.307537710031</v>
      </c>
      <c r="C310">
        <f t="shared" si="12"/>
        <v>-0.26652529333214847</v>
      </c>
      <c r="D310">
        <v>-0.102626241743564</v>
      </c>
      <c r="E310" s="3">
        <f t="shared" si="13"/>
        <v>121.01963535317373</v>
      </c>
      <c r="F310">
        <v>-1.1089711450040301E-2</v>
      </c>
      <c r="G310">
        <f t="shared" si="14"/>
        <v>133.36423247972729</v>
      </c>
    </row>
    <row r="311" spans="1:8">
      <c r="A311" s="1">
        <v>42278</v>
      </c>
      <c r="B311">
        <v>115.914937116658</v>
      </c>
      <c r="C311">
        <f t="shared" si="12"/>
        <v>0.11514627880856931</v>
      </c>
      <c r="D311">
        <v>4.7261978033929998E-4</v>
      </c>
      <c r="E311" s="3">
        <f t="shared" si="13"/>
        <v>103.3563628958109</v>
      </c>
      <c r="F311">
        <v>1.41946692019701E-3</v>
      </c>
      <c r="G311">
        <f t="shared" si="14"/>
        <v>103.45417934241739</v>
      </c>
    </row>
    <row r="312" spans="1:8">
      <c r="A312" s="1">
        <v>42309</v>
      </c>
      <c r="B312">
        <v>129.90624250654099</v>
      </c>
      <c r="C312">
        <f t="shared" si="12"/>
        <v>0.11395635737790233</v>
      </c>
      <c r="D312">
        <v>3.1390207004733302E-4</v>
      </c>
      <c r="E312" s="3">
        <f t="shared" si="13"/>
        <v>115.95132305536832</v>
      </c>
      <c r="F312">
        <v>9.8026217892765999E-4</v>
      </c>
      <c r="G312">
        <f t="shared" si="14"/>
        <v>116.02856414548623</v>
      </c>
    </row>
    <row r="313" spans="1:8">
      <c r="A313" s="1">
        <v>42339</v>
      </c>
      <c r="B313">
        <v>107.126419077512</v>
      </c>
      <c r="C313">
        <f t="shared" si="12"/>
        <v>-0.19280335500784673</v>
      </c>
      <c r="D313">
        <v>-1.1439552763476901E-3</v>
      </c>
      <c r="E313" s="3">
        <f t="shared" si="13"/>
        <v>129.75763557499513</v>
      </c>
      <c r="F313">
        <v>-2.7571625541895602E-3</v>
      </c>
      <c r="G313">
        <f t="shared" si="14"/>
        <v>129.54806987914648</v>
      </c>
    </row>
    <row r="314" spans="1:8">
      <c r="A314" s="1">
        <v>42370</v>
      </c>
      <c r="B314">
        <v>102.78596964636201</v>
      </c>
      <c r="C314">
        <f t="shared" si="12"/>
        <v>-4.1360762094208248E-2</v>
      </c>
      <c r="D314">
        <v>-9.8868948407471093E-4</v>
      </c>
      <c r="E314" s="3">
        <f t="shared" si="13"/>
        <v>107.02050431350348</v>
      </c>
      <c r="F314">
        <v>-8.0115005373954704E-2</v>
      </c>
      <c r="G314">
        <f t="shared" si="14"/>
        <v>98.543985437424595</v>
      </c>
    </row>
    <row r="315" spans="1:8">
      <c r="A315" s="1">
        <v>42401</v>
      </c>
      <c r="B315">
        <v>96.984135015550095</v>
      </c>
      <c r="C315">
        <f t="shared" si="12"/>
        <v>-5.8101453081430776E-2</v>
      </c>
      <c r="D315">
        <v>-4.9914289265870999E-2</v>
      </c>
      <c r="E315" s="3">
        <f t="shared" si="13"/>
        <v>97.655481024960451</v>
      </c>
      <c r="F315">
        <v>-2.5340501219034101E-2</v>
      </c>
      <c r="G315">
        <f t="shared" si="14"/>
        <v>100.18132165723877</v>
      </c>
    </row>
    <row r="316" spans="1:8">
      <c r="A316" s="1">
        <v>42430</v>
      </c>
      <c r="B316">
        <v>88.101030175526205</v>
      </c>
      <c r="C316">
        <f t="shared" si="12"/>
        <v>-9.6063182459780627E-2</v>
      </c>
      <c r="D316">
        <v>-0.15290367603301999</v>
      </c>
      <c r="E316" s="3">
        <f t="shared" si="13"/>
        <v>82.154904254789756</v>
      </c>
      <c r="F316">
        <v>-9.8351158201694405E-2</v>
      </c>
      <c r="G316">
        <f t="shared" si="14"/>
        <v>87.445633009581243</v>
      </c>
    </row>
    <row r="317" spans="1:8">
      <c r="A317" s="1">
        <v>42461</v>
      </c>
      <c r="B317">
        <v>81.577855134728907</v>
      </c>
      <c r="C317">
        <f t="shared" si="12"/>
        <v>-7.6926384139894388E-2</v>
      </c>
      <c r="D317">
        <v>-0.15418708324432301</v>
      </c>
      <c r="E317" s="3">
        <f t="shared" si="13"/>
        <v>74.516989301941734</v>
      </c>
      <c r="F317">
        <v>-5.36971315741539E-2</v>
      </c>
      <c r="G317">
        <f t="shared" si="14"/>
        <v>83.370257566372473</v>
      </c>
    </row>
    <row r="318" spans="1:8">
      <c r="A318" s="1">
        <v>42491</v>
      </c>
      <c r="B318">
        <v>78.496134378299203</v>
      </c>
      <c r="C318">
        <f t="shared" si="12"/>
        <v>-3.8508461998845611E-2</v>
      </c>
      <c r="D318">
        <v>-0.28845030069351102</v>
      </c>
      <c r="E318" s="3">
        <f t="shared" si="13"/>
        <v>58.046698291184669</v>
      </c>
      <c r="F318">
        <v>-8.2060299813747406E-2</v>
      </c>
      <c r="G318">
        <f t="shared" si="14"/>
        <v>74.883551884210604</v>
      </c>
    </row>
    <row r="319" spans="1:8">
      <c r="A319" s="1">
        <v>42522</v>
      </c>
      <c r="B319">
        <v>86.4445855559363</v>
      </c>
      <c r="C319">
        <f t="shared" si="12"/>
        <v>9.6454199248677597E-2</v>
      </c>
      <c r="D319">
        <v>0.28756180405616699</v>
      </c>
      <c r="E319" s="3">
        <f t="shared" si="13"/>
        <v>101.06862439155823</v>
      </c>
      <c r="F319">
        <v>-1.9318144768476399E-2</v>
      </c>
      <c r="G319">
        <f t="shared" si="14"/>
        <v>76.979734690613441</v>
      </c>
      <c r="H319" s="3"/>
    </row>
    <row r="320" spans="1:8">
      <c r="A320" s="1">
        <v>42552</v>
      </c>
      <c r="B320">
        <v>91.675995363456195</v>
      </c>
      <c r="C320">
        <f t="shared" si="12"/>
        <v>5.8756992185840851E-2</v>
      </c>
      <c r="D320">
        <v>0.114800974726676</v>
      </c>
      <c r="E320" s="3">
        <f t="shared" si="13"/>
        <v>96.368508237601318</v>
      </c>
      <c r="F320">
        <v>-8.7872885167598697E-2</v>
      </c>
      <c r="G320">
        <f t="shared" si="14"/>
        <v>78.848450416018849</v>
      </c>
    </row>
    <row r="321" spans="1:8">
      <c r="A321" s="1">
        <v>42583</v>
      </c>
      <c r="B321">
        <v>104.409240005757</v>
      </c>
      <c r="C321">
        <f t="shared" si="12"/>
        <v>0.13005760591257065</v>
      </c>
      <c r="D321">
        <v>7.7799774706363595E-2</v>
      </c>
      <c r="E321" s="3">
        <f t="shared" si="13"/>
        <v>98.808367148714723</v>
      </c>
      <c r="F321">
        <v>0.18806901574134799</v>
      </c>
      <c r="G321">
        <f t="shared" si="14"/>
        <v>108.91740957856979</v>
      </c>
    </row>
    <row r="322" spans="1:8">
      <c r="A322" s="1">
        <v>42614</v>
      </c>
      <c r="B322">
        <v>113.733278372402</v>
      </c>
      <c r="C322">
        <f t="shared" si="12"/>
        <v>8.5537866371068638E-2</v>
      </c>
      <c r="D322">
        <v>3.5948581993579802E-2</v>
      </c>
      <c r="E322" s="3">
        <f t="shared" si="13"/>
        <v>108.16260413099131</v>
      </c>
      <c r="F322">
        <v>0.12835320830345101</v>
      </c>
      <c r="G322">
        <f t="shared" si="14"/>
        <v>117.81050093702093</v>
      </c>
    </row>
    <row r="323" spans="1:8">
      <c r="A323" s="1">
        <v>42644</v>
      </c>
      <c r="B323">
        <v>101.954654855401</v>
      </c>
      <c r="C323">
        <f t="shared" si="12"/>
        <v>-0.10932788950856587</v>
      </c>
      <c r="D323">
        <v>-3.3199291676282799E-2</v>
      </c>
      <c r="E323" s="3">
        <f t="shared" si="13"/>
        <v>109.95741409041676</v>
      </c>
      <c r="F323">
        <v>3.98608623072505E-3</v>
      </c>
      <c r="G323">
        <f t="shared" si="14"/>
        <v>114.18662902729744</v>
      </c>
    </row>
    <row r="324" spans="1:8">
      <c r="A324" s="1">
        <v>42675</v>
      </c>
      <c r="B324">
        <v>94.905371428163903</v>
      </c>
      <c r="C324">
        <f t="shared" ref="C324:C361" si="15">LN(B324)-LN(B323)</f>
        <v>-7.1647849253774432E-2</v>
      </c>
      <c r="D324">
        <v>-2.6588313281536099E-2</v>
      </c>
      <c r="E324" s="3">
        <f t="shared" si="13"/>
        <v>99.243852551594713</v>
      </c>
      <c r="F324">
        <v>-1.8017843365669198E-2</v>
      </c>
      <c r="G324">
        <f t="shared" si="14"/>
        <v>100.11765185381552</v>
      </c>
    </row>
    <row r="325" spans="1:8">
      <c r="A325" s="1">
        <v>42705</v>
      </c>
      <c r="B325">
        <v>101.24694111131799</v>
      </c>
      <c r="C325">
        <f t="shared" si="15"/>
        <v>6.4682189340907748E-2</v>
      </c>
      <c r="D325">
        <v>2.1253291517496099E-2</v>
      </c>
      <c r="E325" s="3">
        <f t="shared" ref="E325:E361" si="16">B324*D325+B324</f>
        <v>96.92242295370292</v>
      </c>
      <c r="F325">
        <v>-2.4502553045749598E-2</v>
      </c>
      <c r="G325">
        <f t="shared" si="14"/>
        <v>92.57994753041875</v>
      </c>
    </row>
    <row r="326" spans="1:8">
      <c r="A326" s="1">
        <v>42736</v>
      </c>
      <c r="B326">
        <v>91.001154952350504</v>
      </c>
      <c r="C326">
        <f t="shared" si="15"/>
        <v>-0.10669029606365577</v>
      </c>
      <c r="D326">
        <v>-5.7339638471603303E-2</v>
      </c>
      <c r="E326" s="3">
        <f t="shared" si="16"/>
        <v>95.441478111639313</v>
      </c>
      <c r="F326">
        <v>-5.9943996369838701E-2</v>
      </c>
      <c r="G326">
        <f t="shared" si="14"/>
        <v>95.177794840883877</v>
      </c>
    </row>
    <row r="327" spans="1:8">
      <c r="A327" s="1">
        <v>42767</v>
      </c>
      <c r="B327">
        <v>94.822975987365197</v>
      </c>
      <c r="C327">
        <f t="shared" si="15"/>
        <v>4.1139544411411322E-2</v>
      </c>
      <c r="D327">
        <v>1.3217793777585E-2</v>
      </c>
      <c r="E327" s="3">
        <f t="shared" si="16"/>
        <v>92.203989452032729</v>
      </c>
      <c r="F327">
        <v>3.2715632114559399E-3</v>
      </c>
      <c r="G327">
        <f t="shared" ref="G327:G361" si="17">B326*F327+B326</f>
        <v>91.298870983092613</v>
      </c>
    </row>
    <row r="328" spans="1:8">
      <c r="A328" s="1">
        <v>42795</v>
      </c>
      <c r="B328">
        <v>92.467725046372607</v>
      </c>
      <c r="C328">
        <f t="shared" si="15"/>
        <v>-2.5152077417200935E-2</v>
      </c>
      <c r="D328">
        <v>-2.46601197868585E-2</v>
      </c>
      <c r="E328" s="3">
        <f t="shared" si="16"/>
        <v>92.484630040970359</v>
      </c>
      <c r="F328">
        <v>-1.2109536677598899E-2</v>
      </c>
      <c r="G328">
        <f t="shared" si="17"/>
        <v>93.674713681767116</v>
      </c>
    </row>
    <row r="329" spans="1:8">
      <c r="A329" s="1">
        <v>42826</v>
      </c>
      <c r="B329">
        <v>93.523904745689904</v>
      </c>
      <c r="C329">
        <f t="shared" si="15"/>
        <v>1.1357404132439797E-2</v>
      </c>
      <c r="D329">
        <v>-1.7689017578959399E-2</v>
      </c>
      <c r="E329" s="3">
        <f t="shared" si="16"/>
        <v>90.832061832540944</v>
      </c>
      <c r="F329">
        <v>1.09654031693935E-2</v>
      </c>
      <c r="G329">
        <f t="shared" si="17"/>
        <v>93.481670931662705</v>
      </c>
    </row>
    <row r="330" spans="1:8">
      <c r="A330" s="1">
        <v>42856</v>
      </c>
      <c r="B330">
        <v>97.956797774031799</v>
      </c>
      <c r="C330">
        <f t="shared" si="15"/>
        <v>4.6309473084951591E-2</v>
      </c>
      <c r="D330">
        <v>3.8505829870700801E-2</v>
      </c>
      <c r="E330" s="3">
        <f t="shared" si="16"/>
        <v>97.125120310671065</v>
      </c>
      <c r="F330">
        <v>1.59805323928594E-2</v>
      </c>
      <c r="G330">
        <f t="shared" si="17"/>
        <v>95.018466534985095</v>
      </c>
    </row>
    <row r="331" spans="1:8">
      <c r="A331" s="1">
        <v>42887</v>
      </c>
      <c r="B331">
        <v>100.62524048301501</v>
      </c>
      <c r="C331">
        <f t="shared" si="15"/>
        <v>2.6876583197204873E-2</v>
      </c>
      <c r="D331">
        <v>2.7629340067505798E-2</v>
      </c>
      <c r="E331" s="3">
        <f t="shared" si="16"/>
        <v>100.66327945165442</v>
      </c>
      <c r="F331">
        <v>2.1500214934349001E-2</v>
      </c>
      <c r="G331">
        <f t="shared" si="17"/>
        <v>100.06288998045405</v>
      </c>
      <c r="H331" s="3"/>
    </row>
    <row r="332" spans="1:8">
      <c r="A332" s="1">
        <v>42917</v>
      </c>
      <c r="B332">
        <v>97.506518210032397</v>
      </c>
      <c r="C332">
        <f t="shared" si="15"/>
        <v>-3.148389642374827E-2</v>
      </c>
      <c r="D332">
        <v>3.7879232317209202E-2</v>
      </c>
      <c r="E332" s="3">
        <f t="shared" si="16"/>
        <v>104.43684734424617</v>
      </c>
      <c r="F332">
        <v>1.5834018588066101E-2</v>
      </c>
      <c r="G332">
        <f t="shared" si="17"/>
        <v>102.21854241125169</v>
      </c>
      <c r="H332" s="3"/>
    </row>
    <row r="333" spans="1:8">
      <c r="A333" s="1">
        <v>42948</v>
      </c>
      <c r="B333">
        <v>108.350325325364</v>
      </c>
      <c r="C333">
        <f t="shared" si="15"/>
        <v>0.10545050131385114</v>
      </c>
      <c r="D333">
        <v>-9.1367118060588795E-2</v>
      </c>
      <c r="E333" s="3">
        <f t="shared" si="16"/>
        <v>88.597628649059416</v>
      </c>
      <c r="F333">
        <v>8.5483239963650703E-3</v>
      </c>
      <c r="G333">
        <f t="shared" si="17"/>
        <v>98.340035519449231</v>
      </c>
    </row>
    <row r="334" spans="1:8">
      <c r="A334" s="1">
        <v>42979</v>
      </c>
      <c r="B334">
        <v>98.513151257138304</v>
      </c>
      <c r="C334">
        <f t="shared" si="15"/>
        <v>-9.5179675952725695E-2</v>
      </c>
      <c r="D334">
        <v>9.4615377485752106E-2</v>
      </c>
      <c r="E334" s="3">
        <f t="shared" si="16"/>
        <v>118.60193225672735</v>
      </c>
      <c r="F334">
        <v>1.6745151951908999E-2</v>
      </c>
      <c r="G334">
        <f t="shared" si="17"/>
        <v>110.16466798697599</v>
      </c>
    </row>
    <row r="335" spans="1:8">
      <c r="A335" s="1">
        <v>43009</v>
      </c>
      <c r="B335">
        <v>103.637604915669</v>
      </c>
      <c r="C335">
        <f t="shared" si="15"/>
        <v>5.0710191208334088E-2</v>
      </c>
      <c r="D335">
        <v>5.2300035953521701E-2</v>
      </c>
      <c r="E335" s="3">
        <f t="shared" si="16"/>
        <v>103.66539260978136</v>
      </c>
      <c r="F335">
        <v>-4.5859962701797402E-2</v>
      </c>
      <c r="G335">
        <f t="shared" si="17"/>
        <v>93.995341814849411</v>
      </c>
    </row>
    <row r="336" spans="1:8">
      <c r="A336" s="1">
        <v>43040</v>
      </c>
      <c r="B336">
        <v>109.112944063713</v>
      </c>
      <c r="C336">
        <f t="shared" si="15"/>
        <v>5.1483284056845768E-2</v>
      </c>
      <c r="D336">
        <v>2.2810608148574801E-2</v>
      </c>
      <c r="E336" s="3">
        <f t="shared" si="16"/>
        <v>106.00164171085714</v>
      </c>
      <c r="F336">
        <v>3.1382802873849799E-2</v>
      </c>
      <c r="G336">
        <f t="shared" si="17"/>
        <v>106.89004344105537</v>
      </c>
    </row>
    <row r="337" spans="1:7">
      <c r="A337" s="1">
        <v>43070</v>
      </c>
      <c r="B337">
        <v>106.105444441457</v>
      </c>
      <c r="C337">
        <f t="shared" si="15"/>
        <v>-2.7950171282749459E-2</v>
      </c>
      <c r="D337">
        <v>-2.8615124523639599E-2</v>
      </c>
      <c r="E337" s="3">
        <f t="shared" si="16"/>
        <v>105.99066358218893</v>
      </c>
      <c r="F337">
        <v>6.0972683131694697E-2</v>
      </c>
      <c r="G337">
        <f t="shared" si="17"/>
        <v>115.7658530276761</v>
      </c>
    </row>
    <row r="338" spans="1:7">
      <c r="A338" s="1">
        <v>43101</v>
      </c>
      <c r="B338">
        <v>109.919780865745</v>
      </c>
      <c r="C338">
        <f t="shared" si="15"/>
        <v>3.5317476343589504E-2</v>
      </c>
      <c r="D338">
        <v>9.1382889077067306E-3</v>
      </c>
      <c r="E338" s="3">
        <f t="shared" si="16"/>
        <v>107.07506664744365</v>
      </c>
      <c r="F338">
        <v>9.0486034750938398E-3</v>
      </c>
      <c r="G338">
        <f t="shared" si="17"/>
        <v>107.06555053475634</v>
      </c>
    </row>
    <row r="339" spans="1:7">
      <c r="A339" s="1">
        <v>43132</v>
      </c>
      <c r="B339">
        <v>98.475946124289706</v>
      </c>
      <c r="C339">
        <f t="shared" si="15"/>
        <v>-0.10993851832051327</v>
      </c>
      <c r="D339">
        <v>-0.17537507414817799</v>
      </c>
      <c r="E339" s="3">
        <f t="shared" si="16"/>
        <v>90.642591146063495</v>
      </c>
      <c r="F339">
        <v>-2.1995466202497399E-2</v>
      </c>
      <c r="G339">
        <f t="shared" si="17"/>
        <v>107.50204404072659</v>
      </c>
    </row>
    <row r="340" spans="1:7">
      <c r="A340" s="1">
        <v>43160</v>
      </c>
      <c r="B340">
        <v>104.42277000896</v>
      </c>
      <c r="C340">
        <f t="shared" si="15"/>
        <v>5.8635438629448089E-2</v>
      </c>
      <c r="D340">
        <v>0.147120356559753</v>
      </c>
      <c r="E340" s="3">
        <f t="shared" si="16"/>
        <v>112.96376243065424</v>
      </c>
      <c r="F340">
        <v>-6.1695668846368703E-3</v>
      </c>
      <c r="G340">
        <f t="shared" si="17"/>
        <v>97.868392188148007</v>
      </c>
    </row>
    <row r="341" spans="1:7">
      <c r="A341" s="1">
        <v>43191</v>
      </c>
      <c r="B341">
        <v>101.950966974441</v>
      </c>
      <c r="C341">
        <f t="shared" si="15"/>
        <v>-2.3955773435050176E-2</v>
      </c>
      <c r="D341">
        <v>-1.7750065773725499E-2</v>
      </c>
      <c r="E341" s="3">
        <f t="shared" si="16"/>
        <v>102.56925897302635</v>
      </c>
      <c r="F341">
        <v>-1.21779590845108E-2</v>
      </c>
      <c r="G341">
        <f t="shared" si="17"/>
        <v>103.15111378829961</v>
      </c>
    </row>
    <row r="342" spans="1:7">
      <c r="A342" s="1">
        <v>43221</v>
      </c>
      <c r="B342">
        <v>97.124475482184394</v>
      </c>
      <c r="C342">
        <f t="shared" si="15"/>
        <v>-4.8498573534070388E-2</v>
      </c>
      <c r="D342">
        <v>-3.27194295823574E-2</v>
      </c>
      <c r="E342" s="3">
        <f t="shared" si="16"/>
        <v>98.615189489667529</v>
      </c>
      <c r="F342">
        <v>-7.61116808280348E-3</v>
      </c>
      <c r="G342">
        <f t="shared" si="17"/>
        <v>101.17500102859418</v>
      </c>
    </row>
    <row r="343" spans="1:7">
      <c r="A343" s="1">
        <v>43252</v>
      </c>
      <c r="B343">
        <v>109.021614779896</v>
      </c>
      <c r="C343">
        <f t="shared" si="15"/>
        <v>0.11555275507074381</v>
      </c>
      <c r="D343">
        <v>3.5261210054159102E-2</v>
      </c>
      <c r="E343" s="3">
        <f t="shared" si="16"/>
        <v>100.54920201356173</v>
      </c>
      <c r="F343">
        <v>4.5808404684066703E-3</v>
      </c>
      <c r="G343">
        <f t="shared" si="17"/>
        <v>97.569387209945958</v>
      </c>
    </row>
    <row r="344" spans="1:7">
      <c r="A344" s="1">
        <v>43282</v>
      </c>
      <c r="B344">
        <v>101.872846078978</v>
      </c>
      <c r="C344">
        <f t="shared" si="15"/>
        <v>-6.7820734748666567E-2</v>
      </c>
      <c r="D344">
        <v>-2.4708900600671699E-2</v>
      </c>
      <c r="E344" s="3">
        <f t="shared" si="16"/>
        <v>106.32781053697482</v>
      </c>
      <c r="F344">
        <v>-6.8235084414482103E-2</v>
      </c>
      <c r="G344">
        <f t="shared" si="17"/>
        <v>101.58251569238665</v>
      </c>
    </row>
    <row r="345" spans="1:7">
      <c r="A345" s="1">
        <v>43313</v>
      </c>
      <c r="B345">
        <v>90.321202261147306</v>
      </c>
      <c r="C345">
        <f t="shared" si="15"/>
        <v>-0.12035319767292751</v>
      </c>
      <c r="D345">
        <v>-4.1708983480930301E-2</v>
      </c>
      <c r="E345" s="3">
        <f t="shared" si="16"/>
        <v>97.623833224714545</v>
      </c>
      <c r="F345">
        <v>-3.3319201320409698E-2</v>
      </c>
      <c r="G345">
        <f t="shared" si="17"/>
        <v>98.478524211389427</v>
      </c>
    </row>
    <row r="346" spans="1:7">
      <c r="A346" s="1">
        <v>43344</v>
      </c>
      <c r="B346">
        <v>80.166091903657801</v>
      </c>
      <c r="C346">
        <f t="shared" si="15"/>
        <v>-0.11927159963048695</v>
      </c>
      <c r="D346">
        <v>-5.6871730834245598E-2</v>
      </c>
      <c r="E346" s="3">
        <f t="shared" si="16"/>
        <v>85.184479157525885</v>
      </c>
      <c r="F346">
        <v>-2.17353366315364E-2</v>
      </c>
      <c r="G346">
        <f t="shared" si="17"/>
        <v>88.358040525036188</v>
      </c>
    </row>
    <row r="347" spans="1:7">
      <c r="A347" s="1">
        <v>43374</v>
      </c>
      <c r="B347">
        <v>85.857523895233697</v>
      </c>
      <c r="C347">
        <f t="shared" si="15"/>
        <v>6.8588592266631387E-2</v>
      </c>
      <c r="D347">
        <v>-0.15334632992744399</v>
      </c>
      <c r="E347" s="3">
        <f t="shared" si="16"/>
        <v>67.872915925605696</v>
      </c>
      <c r="F347">
        <v>-3.8071326911449398E-2</v>
      </c>
      <c r="G347">
        <f t="shared" si="17"/>
        <v>77.114062411580349</v>
      </c>
    </row>
    <row r="348" spans="1:7">
      <c r="A348" s="1">
        <v>43405</v>
      </c>
      <c r="B348">
        <v>76.936669572356195</v>
      </c>
      <c r="C348">
        <f t="shared" si="15"/>
        <v>-0.10970661316685337</v>
      </c>
      <c r="D348">
        <v>0.96272361278533902</v>
      </c>
      <c r="E348" s="3">
        <f t="shared" si="16"/>
        <v>168.51458948445665</v>
      </c>
      <c r="F348">
        <v>-7.2857834398746393E-2</v>
      </c>
      <c r="G348">
        <f t="shared" si="17"/>
        <v>79.602130637388342</v>
      </c>
    </row>
    <row r="349" spans="1:7">
      <c r="A349" s="1">
        <v>43435</v>
      </c>
      <c r="B349">
        <v>87.770534891830394</v>
      </c>
      <c r="C349">
        <f t="shared" si="15"/>
        <v>0.13174324047900932</v>
      </c>
      <c r="D349">
        <v>-0.89278525114059404</v>
      </c>
      <c r="E349" s="3">
        <f t="shared" si="16"/>
        <v>8.2487457062792657</v>
      </c>
      <c r="F349">
        <v>2.7521217241883202E-2</v>
      </c>
      <c r="G349">
        <f t="shared" si="17"/>
        <v>79.054060369523995</v>
      </c>
    </row>
    <row r="350" spans="1:7">
      <c r="A350" s="1">
        <v>43466</v>
      </c>
      <c r="B350">
        <v>79.601464647117098</v>
      </c>
      <c r="C350">
        <f t="shared" si="15"/>
        <v>-9.7693358059380841E-2</v>
      </c>
      <c r="D350">
        <v>7.76229128241539E-2</v>
      </c>
      <c r="E350" s="3">
        <f t="shared" si="16"/>
        <v>94.583539470268306</v>
      </c>
      <c r="F350">
        <v>-2.6513491757214E-3</v>
      </c>
      <c r="G350">
        <f t="shared" si="17"/>
        <v>87.537824556492311</v>
      </c>
    </row>
    <row r="351" spans="1:7">
      <c r="A351" s="1">
        <v>43497</v>
      </c>
      <c r="B351">
        <v>85.616462704046597</v>
      </c>
      <c r="C351">
        <f t="shared" si="15"/>
        <v>7.2845093194811028E-2</v>
      </c>
      <c r="D351">
        <v>-6.4055509865283897E-2</v>
      </c>
      <c r="E351" s="3">
        <f t="shared" si="16"/>
        <v>74.502552243122636</v>
      </c>
      <c r="F351">
        <v>8.3280988037586195E-3</v>
      </c>
      <c r="G351">
        <f t="shared" si="17"/>
        <v>80.264393509622181</v>
      </c>
    </row>
    <row r="352" spans="1:7">
      <c r="A352" s="1">
        <v>43525</v>
      </c>
      <c r="B352">
        <v>88.155096604318899</v>
      </c>
      <c r="C352">
        <f t="shared" si="15"/>
        <v>2.9220138613010427E-2</v>
      </c>
      <c r="D352">
        <v>-2.4218843318521898E-3</v>
      </c>
      <c r="E352" s="3">
        <f t="shared" si="16"/>
        <v>85.409109534475064</v>
      </c>
      <c r="F352">
        <v>5.4687722586095298E-3</v>
      </c>
      <c r="G352">
        <f t="shared" si="17"/>
        <v>86.084679640162761</v>
      </c>
    </row>
    <row r="353" spans="1:7">
      <c r="A353" s="1">
        <v>43556</v>
      </c>
      <c r="B353">
        <v>87.182487799711495</v>
      </c>
      <c r="C353">
        <f t="shared" si="15"/>
        <v>-1.1094241816956618E-2</v>
      </c>
      <c r="D353">
        <v>2.3306920775212299E-4</v>
      </c>
      <c r="E353" s="3">
        <f t="shared" si="16"/>
        <v>88.175642842843786</v>
      </c>
      <c r="F353">
        <v>1.1987572070211101E-3</v>
      </c>
      <c r="G353">
        <f t="shared" si="17"/>
        <v>88.260773161708968</v>
      </c>
    </row>
    <row r="354" spans="1:7">
      <c r="A354" s="1">
        <v>43586</v>
      </c>
      <c r="B354">
        <v>81.766966218454598</v>
      </c>
      <c r="C354">
        <f t="shared" si="15"/>
        <v>-6.413015667654598E-2</v>
      </c>
      <c r="D354">
        <v>3.7833768874406802E-3</v>
      </c>
      <c r="E354" s="3">
        <f t="shared" si="16"/>
        <v>87.51233200904251</v>
      </c>
      <c r="F354">
        <v>9.08822286874055E-4</v>
      </c>
      <c r="G354">
        <f t="shared" si="17"/>
        <v>87.261721187649002</v>
      </c>
    </row>
    <row r="355" spans="1:7">
      <c r="A355" s="1">
        <v>43617</v>
      </c>
      <c r="B355">
        <v>84.856333927234999</v>
      </c>
      <c r="C355">
        <f t="shared" si="15"/>
        <v>3.7086311333074384E-2</v>
      </c>
      <c r="D355">
        <v>-2.3098916281014598E-3</v>
      </c>
      <c r="E355" s="3">
        <f t="shared" si="16"/>
        <v>81.578093387731329</v>
      </c>
      <c r="F355">
        <v>-4.0102531784213998E-4</v>
      </c>
      <c r="G355">
        <f t="shared" si="17"/>
        <v>81.734175594837851</v>
      </c>
    </row>
    <row r="356" spans="1:7">
      <c r="A356" s="1">
        <v>43647</v>
      </c>
      <c r="B356">
        <v>82.660188079016393</v>
      </c>
      <c r="C356">
        <f t="shared" si="15"/>
        <v>-2.6221553003977327E-2</v>
      </c>
      <c r="D356">
        <v>-1.37876709923148E-2</v>
      </c>
      <c r="E356" s="3">
        <f t="shared" si="16"/>
        <v>83.686362713432288</v>
      </c>
      <c r="F356">
        <v>1.6521681100130001E-2</v>
      </c>
      <c r="G356">
        <f t="shared" si="17"/>
        <v>86.258303215706917</v>
      </c>
    </row>
    <row r="357" spans="1:7">
      <c r="A357" s="1">
        <v>43678</v>
      </c>
      <c r="B357">
        <v>91.914360802952601</v>
      </c>
      <c r="C357">
        <f t="shared" si="15"/>
        <v>0.10611919827768279</v>
      </c>
      <c r="D357">
        <v>6.6672928631305695E-2</v>
      </c>
      <c r="E357" s="3">
        <f t="shared" si="16"/>
        <v>88.171384899458957</v>
      </c>
      <c r="F357">
        <v>4.7351489774882698E-3</v>
      </c>
      <c r="G357">
        <f t="shared" si="17"/>
        <v>83.05159638407774</v>
      </c>
    </row>
    <row r="358" spans="1:7">
      <c r="A358" s="1">
        <v>43709</v>
      </c>
      <c r="B358">
        <v>93.826591637534406</v>
      </c>
      <c r="C358">
        <f t="shared" si="15"/>
        <v>2.0591026081548947E-2</v>
      </c>
      <c r="D358">
        <v>3.0280419159680601E-3</v>
      </c>
      <c r="E358" s="3">
        <f t="shared" si="16"/>
        <v>92.192681340143352</v>
      </c>
      <c r="F358">
        <v>3.4656461328268003E-2</v>
      </c>
      <c r="G358">
        <f t="shared" si="17"/>
        <v>95.099787293632602</v>
      </c>
    </row>
    <row r="359" spans="1:7">
      <c r="A359" s="1">
        <v>43739</v>
      </c>
      <c r="B359">
        <v>95.699602323166403</v>
      </c>
      <c r="C359">
        <f t="shared" si="15"/>
        <v>1.9765834224351408E-2</v>
      </c>
      <c r="D359">
        <v>-1.41334924846887E-2</v>
      </c>
      <c r="E359" s="3">
        <f t="shared" si="16"/>
        <v>92.500494209761357</v>
      </c>
      <c r="F359">
        <v>1.8629470840096401E-2</v>
      </c>
      <c r="G359">
        <f t="shared" si="17"/>
        <v>95.574531390471492</v>
      </c>
    </row>
    <row r="360" spans="1:7">
      <c r="A360" s="1">
        <v>43770</v>
      </c>
      <c r="B360">
        <v>93.297674753659606</v>
      </c>
      <c r="C360">
        <f t="shared" si="15"/>
        <v>-2.5418957709186785E-2</v>
      </c>
      <c r="D360">
        <v>3.7775304168462698E-2</v>
      </c>
      <c r="E360" s="3">
        <f t="shared" si="16"/>
        <v>99.314683909724934</v>
      </c>
      <c r="F360">
        <v>8.8145239278674108E-3</v>
      </c>
      <c r="G360">
        <f t="shared" si="17"/>
        <v>96.543148757731345</v>
      </c>
    </row>
    <row r="361" spans="1:7">
      <c r="A361" s="1">
        <v>43800</v>
      </c>
      <c r="B361">
        <v>92.921829761790505</v>
      </c>
      <c r="C361">
        <f t="shared" si="15"/>
        <v>-4.0365857828108531E-3</v>
      </c>
      <c r="D361">
        <v>2.54957098513841E-2</v>
      </c>
      <c r="E361" s="3">
        <f t="shared" si="16"/>
        <v>95.67636519898771</v>
      </c>
      <c r="F361">
        <v>2.1693523973226499E-2</v>
      </c>
      <c r="G361">
        <f t="shared" si="17"/>
        <v>95.321630097574413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Jung, Yonggeun</dc:creator>
  <cp:lastModifiedBy>Jung, Yonggeun</cp:lastModifiedBy>
  <dcterms:created xsi:type="dcterms:W3CDTF">2025-06-24T17:45:56Z</dcterms:created>
  <dcterms:modified xsi:type="dcterms:W3CDTF">2025-06-25T00:21:15Z</dcterms:modified>
</cp:coreProperties>
</file>